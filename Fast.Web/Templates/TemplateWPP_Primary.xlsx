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ST\Fast.Web\Templates\"/>
    </mc:Choice>
  </mc:AlternateContent>
  <xr:revisionPtr revIDLastSave="0" documentId="13_ncr:1_{3A3A7170-F25D-4187-8E3F-7D68D5BDBA02}" xr6:coauthVersionLast="45" xr6:coauthVersionMax="45" xr10:uidLastSave="{00000000-0000-0000-0000-000000000000}"/>
  <bookViews>
    <workbookView xWindow="-120" yWindow="-120" windowWidth="24240" windowHeight="13140" xr2:uid="{7EDB5FEB-0DA6-4F04-8E79-ECCF58616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9" i="1" l="1"/>
  <c r="C18" i="1"/>
  <c r="H18" i="1" s="1"/>
  <c r="AG14" i="1"/>
  <c r="AG13" i="1"/>
  <c r="AG12" i="1"/>
  <c r="C4" i="1"/>
  <c r="C5" i="1" s="1"/>
  <c r="C6" i="1" s="1"/>
  <c r="C7" i="1" s="1"/>
  <c r="C12" i="1" s="1"/>
  <c r="C13" i="1" s="1"/>
  <c r="C14" i="1" s="1"/>
  <c r="C3" i="1"/>
  <c r="H3" i="1" s="1"/>
  <c r="H4" i="1" l="1"/>
  <c r="H5" i="1" s="1"/>
  <c r="H6" i="1" s="1"/>
  <c r="H7" i="1" s="1"/>
  <c r="H12" i="1" s="1"/>
  <c r="H13" i="1" s="1"/>
  <c r="H14" i="1" s="1"/>
  <c r="H15" i="1" s="1"/>
  <c r="M3" i="1"/>
  <c r="H19" i="1"/>
  <c r="H20" i="1" s="1"/>
  <c r="M18" i="1"/>
  <c r="R18" i="1" l="1"/>
  <c r="M19" i="1"/>
  <c r="M20" i="1" s="1"/>
  <c r="M4" i="1"/>
  <c r="M5" i="1" s="1"/>
  <c r="M6" i="1" s="1"/>
  <c r="M7" i="1" s="1"/>
  <c r="M12" i="1" s="1"/>
  <c r="M13" i="1" s="1"/>
  <c r="M14" i="1" s="1"/>
  <c r="M15" i="1" s="1"/>
  <c r="R3" i="1"/>
  <c r="R4" i="1" l="1"/>
  <c r="R5" i="1" s="1"/>
  <c r="R6" i="1" s="1"/>
  <c r="W3" i="1"/>
  <c r="R19" i="1"/>
  <c r="R20" i="1" s="1"/>
  <c r="W18" i="1"/>
  <c r="AB18" i="1" l="1"/>
  <c r="AB19" i="1" s="1"/>
  <c r="W19" i="1"/>
  <c r="AB3" i="1"/>
  <c r="W4" i="1"/>
  <c r="R7" i="1"/>
  <c r="R12" i="1" s="1"/>
  <c r="R13" i="1" s="1"/>
  <c r="R14" i="1" s="1"/>
  <c r="R15" i="1" s="1"/>
  <c r="W6" i="1"/>
  <c r="W12" i="1" s="1"/>
  <c r="W13" i="1" s="1"/>
  <c r="W14" i="1" s="1"/>
  <c r="W15" i="1" s="1"/>
  <c r="W5" i="1" l="1"/>
  <c r="AB5" i="1" s="1"/>
  <c r="AB12" i="1" s="1"/>
  <c r="AB13" i="1" s="1"/>
  <c r="AB14" i="1" s="1"/>
  <c r="AB4" i="1"/>
</calcChain>
</file>

<file path=xl/sharedStrings.xml><?xml version="1.0" encoding="utf-8"?>
<sst xmlns="http://schemas.openxmlformats.org/spreadsheetml/2006/main" count="162" uniqueCount="74">
  <si>
    <t>Blend</t>
  </si>
  <si>
    <t>Batch lama</t>
  </si>
  <si>
    <t>PO</t>
  </si>
  <si>
    <t>Batch SAP</t>
  </si>
  <si>
    <t>AA18C</t>
  </si>
  <si>
    <t>PJ-1340886</t>
  </si>
  <si>
    <t>PJ-1340891</t>
  </si>
  <si>
    <t>PJ-1340896</t>
  </si>
  <si>
    <t>PJ-1341666</t>
  </si>
  <si>
    <t>PJ-1341671</t>
  </si>
  <si>
    <t>PJ-1341676</t>
  </si>
  <si>
    <t>PJ-1340887</t>
  </si>
  <si>
    <t>PJ-1340892</t>
  </si>
  <si>
    <t>PJ-1340897</t>
  </si>
  <si>
    <t>PJ-1341667</t>
  </si>
  <si>
    <t>PJ-1341672</t>
  </si>
  <si>
    <t>PJ-1341677</t>
  </si>
  <si>
    <t>PJ-1340888</t>
  </si>
  <si>
    <t>PJ-1340893</t>
  </si>
  <si>
    <t>PJ-1340898</t>
  </si>
  <si>
    <t>PJ-1341668</t>
  </si>
  <si>
    <t>PJ-1341673</t>
  </si>
  <si>
    <t>PJ-1341678</t>
  </si>
  <si>
    <t>PJ-1340889</t>
  </si>
  <si>
    <t>PJ-1340894</t>
  </si>
  <si>
    <t>PJ-1340899</t>
  </si>
  <si>
    <t>PJ-1341669</t>
  </si>
  <si>
    <t>PJ-1341674</t>
  </si>
  <si>
    <t>PJ-1340890</t>
  </si>
  <si>
    <t>PJ-1340895</t>
  </si>
  <si>
    <t>PJ-1340900</t>
  </si>
  <si>
    <t>PJ-1341670</t>
  </si>
  <si>
    <t>AA28D</t>
  </si>
  <si>
    <t>PJ-1340901</t>
  </si>
  <si>
    <t>PJ-1340904</t>
  </si>
  <si>
    <t>PJ-1340908</t>
  </si>
  <si>
    <t>PJ-1341679</t>
  </si>
  <si>
    <t>PJ-1341683</t>
  </si>
  <si>
    <t>PJ-1341688</t>
  </si>
  <si>
    <t>PJ-1341691</t>
  </si>
  <si>
    <t>PJ-1340902</t>
  </si>
  <si>
    <t>PJ-1340905</t>
  </si>
  <si>
    <t>PJ-1340909</t>
  </si>
  <si>
    <t>PJ-1341680</t>
  </si>
  <si>
    <t>PJ-1341684</t>
  </si>
  <si>
    <t>PJ-1341689</t>
  </si>
  <si>
    <t>PJ-1341692</t>
  </si>
  <si>
    <t>PJ-1340903</t>
  </si>
  <si>
    <t>PJ-1340906</t>
  </si>
  <si>
    <t>PJ-1340910</t>
  </si>
  <si>
    <t>PJ-1341681</t>
  </si>
  <si>
    <t>PJ-1341685</t>
  </si>
  <si>
    <t>PJ-1341690</t>
  </si>
  <si>
    <t>PJ-1341693</t>
  </si>
  <si>
    <t>PJ-1340907</t>
  </si>
  <si>
    <t>PJ-1340911</t>
  </si>
  <si>
    <t>PJ-1341682</t>
  </si>
  <si>
    <t>PJ-1341686</t>
  </si>
  <si>
    <t>AA0AL</t>
  </si>
  <si>
    <t>PJ-1341632</t>
  </si>
  <si>
    <t>PJ-1341634</t>
  </si>
  <si>
    <t>PJ-1341637</t>
  </si>
  <si>
    <t>PJ-1341659</t>
  </si>
  <si>
    <t>PJ-1341662</t>
  </si>
  <si>
    <t>PJ-1341664</t>
  </si>
  <si>
    <t>PJ-1341633</t>
  </si>
  <si>
    <t>PJ-1341635</t>
  </si>
  <si>
    <t>PJ-1341638</t>
  </si>
  <si>
    <t>PJ-1341660</t>
  </si>
  <si>
    <t>PJ-1341663</t>
  </si>
  <si>
    <t>PJ-1341665</t>
  </si>
  <si>
    <t>PJ-1341636</t>
  </si>
  <si>
    <t>PJ-1341639</t>
  </si>
  <si>
    <t>PJ-1341661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</si>
</sst>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"/>
    <numFmt numFmtId="165" formatCode="000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92D050"/>
      <name val="Arial"/>
      <family val="2"/>
    </font>
    <font>
      <b/>
      <sz val="10"/>
      <color rgb="FFFF0000"/>
      <name val="Arial"/>
      <family val="2"/>
    </font>
    <font>
      <b/>
      <sz val="1"/>
      <color rgb="FFFF0000"/>
      <name val="Arial"/>
      <family val="2"/>
    </font>
    <font>
      <b/>
      <sz val="1"/>
      <color theme="0"/>
      <name val="Arial"/>
      <family val="2"/>
    </font>
    <font>
      <b/>
      <sz val="1"/>
      <color rgb="FF92D05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sz val="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2" fillId="2" borderId="1" xfId="1" quotePrefix="1" applyFont="1" applyFill="1" applyBorder="1" applyAlignment="1">
      <alignment horizontal="right" vertical="center"/>
    </xf>
    <xf numFmtId="0" fontId="2" fillId="2" borderId="2" xfId="1" applyFont="1" applyFill="1" applyBorder="1" applyAlignment="1">
      <alignment horizontal="right" vertical="center"/>
    </xf>
    <xf numFmtId="0" fontId="3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1" fillId="0" borderId="0" xfId="1" applyAlignment="1">
      <alignment vertical="center"/>
    </xf>
    <xf numFmtId="15" fontId="2" fillId="2" borderId="3" xfId="1" applyNumberFormat="1" applyFont="1" applyFill="1" applyBorder="1" applyAlignment="1">
      <alignment vertical="center"/>
    </xf>
    <xf numFmtId="0" fontId="2" fillId="2" borderId="1" xfId="1" applyFont="1" applyFill="1" applyBorder="1" applyAlignment="1">
      <alignment horizontal="righ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0" fontId="2" fillId="2" borderId="3" xfId="1" quotePrefix="1" applyFont="1" applyFill="1" applyBorder="1" applyAlignment="1">
      <alignment horizontal="center" vertical="center"/>
    </xf>
    <xf numFmtId="0" fontId="2" fillId="0" borderId="4" xfId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164" fontId="2" fillId="0" borderId="4" xfId="1" quotePrefix="1" applyNumberFormat="1" applyFont="1" applyBorder="1" applyAlignment="1">
      <alignment horizontal="center" vertical="center"/>
    </xf>
    <xf numFmtId="165" fontId="2" fillId="0" borderId="3" xfId="1" quotePrefix="1" applyNumberFormat="1" applyFont="1" applyBorder="1" applyAlignment="1">
      <alignment horizontal="center" vertical="center"/>
    </xf>
    <xf numFmtId="0" fontId="4" fillId="0" borderId="4" xfId="1" quotePrefix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0" fontId="2" fillId="0" borderId="4" xfId="1" quotePrefix="1" applyFont="1" applyBorder="1" applyAlignment="1">
      <alignment horizontal="left" vertical="center"/>
    </xf>
    <xf numFmtId="0" fontId="2" fillId="3" borderId="4" xfId="1" applyFont="1" applyFill="1" applyBorder="1" applyAlignment="1">
      <alignment vertical="center"/>
    </xf>
    <xf numFmtId="0" fontId="2" fillId="3" borderId="4" xfId="1" applyFont="1" applyFill="1" applyBorder="1" applyAlignment="1">
      <alignment horizontal="center" vertical="center"/>
    </xf>
    <xf numFmtId="165" fontId="2" fillId="3" borderId="3" xfId="1" applyNumberFormat="1" applyFont="1" applyFill="1" applyBorder="1" applyAlignment="1">
      <alignment horizontal="center" vertical="center"/>
    </xf>
    <xf numFmtId="164" fontId="2" fillId="3" borderId="4" xfId="1" quotePrefix="1" applyNumberFormat="1" applyFont="1" applyFill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4" xfId="1" applyFont="1" applyBorder="1" applyAlignment="1">
      <alignment horizontal="center" vertical="center"/>
    </xf>
    <xf numFmtId="164" fontId="5" fillId="0" borderId="4" xfId="1" quotePrefix="1" applyNumberFormat="1" applyFont="1" applyBorder="1" applyAlignment="1">
      <alignment horizontal="center" vertical="center"/>
    </xf>
    <xf numFmtId="165" fontId="5" fillId="0" borderId="3" xfId="1" applyNumberFormat="1" applyFont="1" applyBorder="1" applyAlignment="1">
      <alignment horizontal="center" vertical="center"/>
    </xf>
    <xf numFmtId="0" fontId="6" fillId="0" borderId="4" xfId="1" applyFont="1" applyBorder="1" applyAlignment="1">
      <alignment vertical="center"/>
    </xf>
    <xf numFmtId="0" fontId="6" fillId="0" borderId="4" xfId="1" applyFont="1" applyBorder="1" applyAlignment="1">
      <alignment horizontal="center" vertical="center"/>
    </xf>
    <xf numFmtId="164" fontId="6" fillId="0" borderId="4" xfId="1" quotePrefix="1" applyNumberFormat="1" applyFont="1" applyBorder="1" applyAlignment="1">
      <alignment horizontal="center" vertical="center"/>
    </xf>
    <xf numFmtId="165" fontId="6" fillId="0" borderId="3" xfId="1" applyNumberFormat="1" applyFont="1" applyBorder="1" applyAlignment="1">
      <alignment horizontal="center" vertical="center"/>
    </xf>
    <xf numFmtId="164" fontId="7" fillId="0" borderId="4" xfId="1" quotePrefix="1" applyNumberFormat="1" applyFont="1" applyBorder="1" applyAlignment="1">
      <alignment horizontal="center" vertical="center"/>
    </xf>
    <xf numFmtId="165" fontId="7" fillId="0" borderId="3" xfId="1" applyNumberFormat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4" xfId="1" quotePrefix="1" applyFont="1" applyBorder="1" applyAlignment="1">
      <alignment horizontal="left" vertical="center"/>
    </xf>
    <xf numFmtId="0" fontId="8" fillId="0" borderId="3" xfId="1" applyFont="1" applyBorder="1" applyAlignment="1">
      <alignment horizontal="center" vertical="center"/>
    </xf>
    <xf numFmtId="164" fontId="8" fillId="0" borderId="4" xfId="1" quotePrefix="1" applyNumberFormat="1" applyFont="1" applyBorder="1" applyAlignment="1">
      <alignment horizontal="center" vertical="center"/>
    </xf>
    <xf numFmtId="165" fontId="8" fillId="0" borderId="3" xfId="1" applyNumberFormat="1" applyFont="1" applyBorder="1" applyAlignment="1">
      <alignment horizontal="left" vertical="center"/>
    </xf>
    <xf numFmtId="0" fontId="9" fillId="0" borderId="4" xfId="1" quotePrefix="1" applyFont="1" applyBorder="1" applyAlignment="1">
      <alignment horizontal="left" vertical="center"/>
    </xf>
    <xf numFmtId="0" fontId="9" fillId="0" borderId="3" xfId="1" applyFont="1" applyBorder="1" applyAlignment="1">
      <alignment horizontal="center" vertical="center"/>
    </xf>
    <xf numFmtId="164" fontId="9" fillId="0" borderId="4" xfId="1" quotePrefix="1" applyNumberFormat="1" applyFont="1" applyBorder="1" applyAlignment="1">
      <alignment horizontal="center" vertical="center"/>
    </xf>
    <xf numFmtId="165" fontId="9" fillId="0" borderId="3" xfId="1" applyNumberFormat="1" applyFont="1" applyBorder="1" applyAlignment="1">
      <alignment horizontal="left" vertical="center"/>
    </xf>
    <xf numFmtId="0" fontId="7" fillId="0" borderId="4" xfId="1" quotePrefix="1" applyFont="1" applyBorder="1" applyAlignment="1">
      <alignment horizontal="left" vertical="center"/>
    </xf>
    <xf numFmtId="0" fontId="7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164" fontId="10" fillId="0" borderId="4" xfId="1" applyNumberFormat="1" applyFont="1" applyBorder="1" applyAlignment="1">
      <alignment vertical="center"/>
    </xf>
    <xf numFmtId="165" fontId="10" fillId="0" borderId="3" xfId="1" applyNumberFormat="1" applyFont="1" applyBorder="1" applyAlignment="1">
      <alignment horizontal="center" vertical="center"/>
    </xf>
    <xf numFmtId="0" fontId="10" fillId="3" borderId="4" xfId="1" applyFont="1" applyFill="1" applyBorder="1" applyAlignment="1">
      <alignment vertical="center"/>
    </xf>
    <xf numFmtId="164" fontId="10" fillId="3" borderId="4" xfId="1" applyNumberFormat="1" applyFont="1" applyFill="1" applyBorder="1" applyAlignment="1">
      <alignment vertical="center"/>
    </xf>
    <xf numFmtId="165" fontId="10" fillId="3" borderId="3" xfId="1" applyNumberFormat="1" applyFont="1" applyFill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4" fillId="4" borderId="4" xfId="1" applyFont="1" applyFill="1" applyBorder="1" applyAlignment="1">
      <alignment vertical="center"/>
    </xf>
    <xf numFmtId="164" fontId="4" fillId="4" borderId="4" xfId="1" applyNumberFormat="1" applyFont="1" applyFill="1" applyBorder="1" applyAlignment="1">
      <alignment vertical="center"/>
    </xf>
    <xf numFmtId="165" fontId="4" fillId="4" borderId="3" xfId="1" applyNumberFormat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right" vertical="center"/>
    </xf>
    <xf numFmtId="164" fontId="6" fillId="0" borderId="4" xfId="1" applyNumberFormat="1" applyFont="1" applyBorder="1" applyAlignment="1">
      <alignment vertical="center"/>
    </xf>
    <xf numFmtId="0" fontId="7" fillId="0" borderId="4" xfId="1" applyFont="1" applyBorder="1" applyAlignment="1">
      <alignment vertical="center"/>
    </xf>
    <xf numFmtId="0" fontId="7" fillId="0" borderId="4" xfId="1" applyFont="1" applyBorder="1" applyAlignment="1">
      <alignment horizontal="center" vertical="center"/>
    </xf>
    <xf numFmtId="165" fontId="7" fillId="0" borderId="3" xfId="1" applyNumberFormat="1" applyFont="1" applyBorder="1" applyAlignment="1">
      <alignment horizontal="center" vertical="center"/>
    </xf>
    <xf numFmtId="164" fontId="12" fillId="0" borderId="4" xfId="1" quotePrefix="1" applyNumberFormat="1" applyFont="1" applyBorder="1" applyAlignment="1">
      <alignment horizontal="center" vertical="center"/>
    </xf>
    <xf numFmtId="165" fontId="12" fillId="0" borderId="3" xfId="1" applyNumberFormat="1" applyFont="1" applyBorder="1" applyAlignment="1">
      <alignment horizontal="center" vertical="center"/>
    </xf>
    <xf numFmtId="165" fontId="9" fillId="0" borderId="3" xfId="1" applyNumberFormat="1" applyFont="1" applyBorder="1" applyAlignment="1">
      <alignment horizontal="center" vertical="center"/>
    </xf>
    <xf numFmtId="0" fontId="9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4" xfId="1" applyFont="1" applyBorder="1" applyAlignment="1">
      <alignment vertical="center"/>
    </xf>
    <xf numFmtId="0" fontId="12" fillId="0" borderId="4" xfId="1" applyFont="1" applyBorder="1" applyAlignment="1">
      <alignment horizontal="center" vertical="center"/>
    </xf>
    <xf numFmtId="164" fontId="7" fillId="0" borderId="3" xfId="1" quotePrefix="1" applyNumberFormat="1" applyFont="1" applyBorder="1" applyAlignment="1">
      <alignment horizontal="center" vertical="center"/>
    </xf>
    <xf numFmtId="0" fontId="5" fillId="0" borderId="3" xfId="1" applyFont="1" applyBorder="1" applyAlignment="1">
      <alignment vertical="center"/>
    </xf>
    <xf numFmtId="164" fontId="9" fillId="0" borderId="3" xfId="1" quotePrefix="1" applyNumberFormat="1" applyFont="1" applyBorder="1" applyAlignment="1">
      <alignment horizontal="center" vertical="center"/>
    </xf>
    <xf numFmtId="0" fontId="10" fillId="0" borderId="3" xfId="1" applyFont="1" applyBorder="1" applyAlignment="1">
      <alignment vertical="center"/>
    </xf>
    <xf numFmtId="0" fontId="2" fillId="3" borderId="4" xfId="1" quotePrefix="1" applyFont="1" applyFill="1" applyBorder="1" applyAlignment="1">
      <alignment horizontal="left" vertical="center"/>
    </xf>
    <xf numFmtId="165" fontId="2" fillId="3" borderId="3" xfId="1" quotePrefix="1" applyNumberFormat="1" applyFont="1" applyFill="1" applyBorder="1" applyAlignment="1">
      <alignment horizontal="center" vertical="center"/>
    </xf>
    <xf numFmtId="0" fontId="3" fillId="0" borderId="4" xfId="1" quotePrefix="1" applyFont="1" applyBorder="1" applyAlignment="1">
      <alignment horizontal="left" vertical="center"/>
    </xf>
    <xf numFmtId="165" fontId="3" fillId="0" borderId="3" xfId="1" quotePrefix="1" applyNumberFormat="1" applyFont="1" applyBorder="1" applyAlignment="1">
      <alignment horizontal="center" vertical="center"/>
    </xf>
    <xf numFmtId="165" fontId="6" fillId="0" borderId="3" xfId="1" quotePrefix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2936C6AA-1F64-4121-B51A-EF27D88B13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CDA2-D9EB-45BD-BDF2-C8C8D0F7BF9A}">
  <dimension ref="B1:AI20"/>
  <sheetViews>
    <sheetView tabSelected="1" workbookViewId="0">
      <selection activeCell="L26" sqref="L26"/>
    </sheetView>
  </sheetViews>
  <sheetFormatPr defaultRowHeight="15" x14ac:dyDescent="0.25"/>
  <cols>
    <col min="3" max="3" width="11.28515625" bestFit="1" customWidth="1"/>
    <col min="4" max="4" width="10" bestFit="1" customWidth="1"/>
    <col min="5" max="5" width="10.85546875" bestFit="1" customWidth="1"/>
    <col min="8" max="8" width="11.28515625" bestFit="1" customWidth="1"/>
    <col min="9" max="9" width="10" bestFit="1" customWidth="1"/>
    <col min="10" max="10" width="10.85546875" bestFit="1" customWidth="1"/>
    <col min="13" max="13" width="11.28515625" bestFit="1" customWidth="1"/>
    <col min="14" max="14" width="10" bestFit="1" customWidth="1"/>
    <col min="15" max="15" width="10.85546875" bestFit="1" customWidth="1"/>
    <col min="18" max="18" width="11.28515625" bestFit="1" customWidth="1"/>
    <col min="19" max="19" width="10" bestFit="1" customWidth="1"/>
    <col min="20" max="20" width="10.85546875" bestFit="1" customWidth="1"/>
    <col min="23" max="23" width="11.28515625" bestFit="1" customWidth="1"/>
    <col min="24" max="24" width="10" bestFit="1" customWidth="1"/>
    <col min="25" max="25" width="10.85546875" bestFit="1" customWidth="1"/>
    <col min="28" max="28" width="11.28515625" bestFit="1" customWidth="1"/>
    <col min="29" max="29" width="10" bestFit="1" customWidth="1"/>
    <col min="30" max="30" width="10.85546875" bestFit="1" customWidth="1"/>
    <col min="33" max="33" width="11.28515625" bestFit="1" customWidth="1"/>
    <col min="34" max="34" width="10" bestFit="1" customWidth="1"/>
    <col min="35" max="35" width="10.85546875" bestFit="1" customWidth="1"/>
  </cols>
  <sheetData>
    <row r="1" spans="2:35" x14ac:dyDescent="0.25">
      <c r="B1" s="1"/>
      <c r="C1" s="2"/>
      <c r="D1" s="3">
        <v>20191219</v>
      </c>
      <c r="E1" s="4"/>
      <c r="F1" s="5"/>
      <c r="G1" s="1"/>
      <c r="H1" s="2"/>
      <c r="I1" s="3">
        <v>20191220</v>
      </c>
      <c r="J1" s="6"/>
      <c r="K1" s="5"/>
      <c r="L1" s="7"/>
      <c r="M1" s="2"/>
      <c r="N1" s="3">
        <v>20191221</v>
      </c>
      <c r="O1" s="6"/>
      <c r="P1" s="5"/>
      <c r="Q1" s="7"/>
      <c r="R1" s="2"/>
      <c r="S1" s="3">
        <v>20191222</v>
      </c>
      <c r="T1" s="6"/>
      <c r="U1" s="5"/>
      <c r="V1" s="7"/>
      <c r="W1" s="2"/>
      <c r="X1" s="3">
        <v>20191223</v>
      </c>
      <c r="Y1" s="6"/>
      <c r="Z1" s="5"/>
      <c r="AA1" s="7"/>
      <c r="AB1" s="2"/>
      <c r="AC1" s="3">
        <v>20191224</v>
      </c>
      <c r="AD1" s="6"/>
      <c r="AE1" s="5"/>
      <c r="AF1" s="1"/>
      <c r="AG1" s="2"/>
      <c r="AH1" s="3">
        <v>20191225</v>
      </c>
      <c r="AI1" s="6"/>
    </row>
    <row r="2" spans="2:35" x14ac:dyDescent="0.25">
      <c r="B2" s="8" t="s">
        <v>0</v>
      </c>
      <c r="C2" s="9" t="s">
        <v>1</v>
      </c>
      <c r="D2" s="10" t="s">
        <v>2</v>
      </c>
      <c r="E2" s="9" t="s">
        <v>3</v>
      </c>
      <c r="F2" s="5"/>
      <c r="G2" s="8" t="s">
        <v>0</v>
      </c>
      <c r="H2" s="11" t="s">
        <v>1</v>
      </c>
      <c r="I2" s="8" t="s">
        <v>2</v>
      </c>
      <c r="J2" s="11" t="s">
        <v>3</v>
      </c>
      <c r="K2" s="5"/>
      <c r="L2" s="8" t="s">
        <v>0</v>
      </c>
      <c r="M2" s="11" t="s">
        <v>1</v>
      </c>
      <c r="N2" s="8" t="s">
        <v>2</v>
      </c>
      <c r="O2" s="9" t="s">
        <v>3</v>
      </c>
      <c r="P2" s="5"/>
      <c r="Q2" s="8" t="s">
        <v>0</v>
      </c>
      <c r="R2" s="11" t="s">
        <v>1</v>
      </c>
      <c r="S2" s="8" t="s">
        <v>2</v>
      </c>
      <c r="T2" s="9" t="s">
        <v>3</v>
      </c>
      <c r="U2" s="5"/>
      <c r="V2" s="8" t="s">
        <v>0</v>
      </c>
      <c r="W2" s="11" t="s">
        <v>1</v>
      </c>
      <c r="X2" s="8" t="s">
        <v>2</v>
      </c>
      <c r="Y2" s="9" t="s">
        <v>3</v>
      </c>
      <c r="Z2" s="5"/>
      <c r="AA2" s="8" t="s">
        <v>0</v>
      </c>
      <c r="AB2" s="11" t="s">
        <v>1</v>
      </c>
      <c r="AC2" s="8" t="s">
        <v>2</v>
      </c>
      <c r="AD2" s="11" t="s">
        <v>3</v>
      </c>
      <c r="AE2" s="5"/>
      <c r="AF2" s="8" t="s">
        <v>0</v>
      </c>
      <c r="AG2" s="11" t="s">
        <v>1</v>
      </c>
      <c r="AH2" s="8" t="s">
        <v>2</v>
      </c>
      <c r="AI2" s="9" t="s">
        <v>3</v>
      </c>
    </row>
    <row r="3" spans="2:35" x14ac:dyDescent="0.25">
      <c r="B3" s="12" t="s">
        <v>4</v>
      </c>
      <c r="C3" s="13" t="str">
        <f>CONCATENATE("1019","12","02","01")</f>
        <v>1019120201</v>
      </c>
      <c r="D3" s="14">
        <v>100901503</v>
      </c>
      <c r="E3" s="15" t="s">
        <v>5</v>
      </c>
      <c r="F3" s="16"/>
      <c r="G3" s="12" t="s">
        <v>4</v>
      </c>
      <c r="H3" s="17">
        <f>C3+100</f>
        <v>1019120301</v>
      </c>
      <c r="I3" s="14">
        <v>100901513</v>
      </c>
      <c r="J3" s="15" t="s">
        <v>6</v>
      </c>
      <c r="K3" s="16"/>
      <c r="L3" s="12" t="s">
        <v>4</v>
      </c>
      <c r="M3" s="17">
        <f>+H3+100</f>
        <v>1019120401</v>
      </c>
      <c r="N3" s="14">
        <v>100901525</v>
      </c>
      <c r="O3" s="15" t="s">
        <v>7</v>
      </c>
      <c r="P3" s="16"/>
      <c r="Q3" s="12" t="s">
        <v>4</v>
      </c>
      <c r="R3" s="17">
        <f>+M3+100</f>
        <v>1019120501</v>
      </c>
      <c r="S3" s="14">
        <v>100902181</v>
      </c>
      <c r="T3" s="18" t="s">
        <v>8</v>
      </c>
      <c r="U3" s="5"/>
      <c r="V3" s="12" t="s">
        <v>4</v>
      </c>
      <c r="W3" s="17">
        <f>+R3+100</f>
        <v>1019120601</v>
      </c>
      <c r="X3" s="14">
        <v>100902190</v>
      </c>
      <c r="Y3" s="18" t="s">
        <v>9</v>
      </c>
      <c r="Z3" s="19"/>
      <c r="AA3" s="20" t="s">
        <v>4</v>
      </c>
      <c r="AB3" s="21">
        <f>+W3+100</f>
        <v>1019120701</v>
      </c>
      <c r="AC3" s="22">
        <v>100902198</v>
      </c>
      <c r="AD3" s="22" t="s">
        <v>10</v>
      </c>
      <c r="AE3" s="16"/>
      <c r="AF3" s="12"/>
      <c r="AG3" s="17"/>
      <c r="AH3" s="14"/>
      <c r="AI3" s="18"/>
    </row>
    <row r="4" spans="2:35" x14ac:dyDescent="0.25">
      <c r="B4" s="12" t="s">
        <v>4</v>
      </c>
      <c r="C4" s="17">
        <f t="shared" ref="C4:C7" si="0">+C3+1</f>
        <v>1019120202</v>
      </c>
      <c r="D4" s="14">
        <v>100901504</v>
      </c>
      <c r="E4" s="15" t="s">
        <v>11</v>
      </c>
      <c r="F4" s="16"/>
      <c r="G4" s="12" t="s">
        <v>4</v>
      </c>
      <c r="H4" s="17">
        <f t="shared" ref="H4:H7" si="1">+H3+1</f>
        <v>1019120302</v>
      </c>
      <c r="I4" s="14">
        <v>100901514</v>
      </c>
      <c r="J4" s="15" t="s">
        <v>12</v>
      </c>
      <c r="K4" s="16"/>
      <c r="L4" s="12" t="s">
        <v>4</v>
      </c>
      <c r="M4" s="17">
        <f t="shared" ref="M4:M7" si="2">+M3+1</f>
        <v>1019120402</v>
      </c>
      <c r="N4" s="14">
        <v>100901526</v>
      </c>
      <c r="O4" s="15" t="s">
        <v>13</v>
      </c>
      <c r="P4" s="16"/>
      <c r="Q4" s="12" t="s">
        <v>4</v>
      </c>
      <c r="R4" s="17">
        <f t="shared" ref="R4:R7" si="3">+R3+1</f>
        <v>1019120502</v>
      </c>
      <c r="S4" s="14">
        <v>100902182</v>
      </c>
      <c r="T4" s="18" t="s">
        <v>14</v>
      </c>
      <c r="U4" s="5"/>
      <c r="V4" s="20" t="s">
        <v>4</v>
      </c>
      <c r="W4" s="21">
        <f t="shared" ref="W4:W5" si="4">+W3+1</f>
        <v>1019120602</v>
      </c>
      <c r="X4" s="23">
        <v>100902191</v>
      </c>
      <c r="Y4" s="22" t="s">
        <v>15</v>
      </c>
      <c r="Z4" s="19"/>
      <c r="AA4" s="20" t="s">
        <v>4</v>
      </c>
      <c r="AB4" s="21">
        <f t="shared" ref="AB4:AB5" si="5">+W4+100</f>
        <v>1019120702</v>
      </c>
      <c r="AC4" s="23">
        <v>100902199</v>
      </c>
      <c r="AD4" s="22" t="s">
        <v>16</v>
      </c>
      <c r="AE4" s="16"/>
      <c r="AF4" s="12"/>
      <c r="AG4" s="17"/>
      <c r="AH4" s="14"/>
      <c r="AI4" s="18"/>
    </row>
    <row r="5" spans="2:35" x14ac:dyDescent="0.25">
      <c r="B5" s="12" t="s">
        <v>4</v>
      </c>
      <c r="C5" s="17">
        <f t="shared" si="0"/>
        <v>1019120203</v>
      </c>
      <c r="D5" s="14">
        <v>100901505</v>
      </c>
      <c r="E5" s="15" t="s">
        <v>17</v>
      </c>
      <c r="F5" s="24"/>
      <c r="G5" s="12" t="s">
        <v>4</v>
      </c>
      <c r="H5" s="17">
        <f t="shared" si="1"/>
        <v>1019120303</v>
      </c>
      <c r="I5" s="14">
        <v>100901515</v>
      </c>
      <c r="J5" s="15" t="s">
        <v>18</v>
      </c>
      <c r="K5" s="24"/>
      <c r="L5" s="12" t="s">
        <v>4</v>
      </c>
      <c r="M5" s="17">
        <f t="shared" si="2"/>
        <v>1019120403</v>
      </c>
      <c r="N5" s="14">
        <v>100901527</v>
      </c>
      <c r="O5" s="15" t="s">
        <v>19</v>
      </c>
      <c r="P5" s="24"/>
      <c r="Q5" s="12" t="s">
        <v>4</v>
      </c>
      <c r="R5" s="17">
        <f t="shared" si="3"/>
        <v>1019120503</v>
      </c>
      <c r="S5" s="14">
        <v>100902183</v>
      </c>
      <c r="T5" s="18" t="s">
        <v>20</v>
      </c>
      <c r="U5" s="5"/>
      <c r="V5" s="20" t="s">
        <v>4</v>
      </c>
      <c r="W5" s="21">
        <f t="shared" si="4"/>
        <v>1019120603</v>
      </c>
      <c r="X5" s="23">
        <v>100902192</v>
      </c>
      <c r="Y5" s="22" t="s">
        <v>21</v>
      </c>
      <c r="Z5" s="25"/>
      <c r="AA5" s="20" t="s">
        <v>4</v>
      </c>
      <c r="AB5" s="21">
        <f t="shared" si="5"/>
        <v>1019120703</v>
      </c>
      <c r="AC5" s="22">
        <v>100902200</v>
      </c>
      <c r="AD5" s="22" t="s">
        <v>22</v>
      </c>
      <c r="AE5" s="24"/>
      <c r="AF5" s="12"/>
      <c r="AG5" s="17"/>
      <c r="AH5" s="14"/>
      <c r="AI5" s="18"/>
    </row>
    <row r="6" spans="2:35" x14ac:dyDescent="0.25">
      <c r="B6" s="12" t="s">
        <v>4</v>
      </c>
      <c r="C6" s="17">
        <f t="shared" si="0"/>
        <v>1019120204</v>
      </c>
      <c r="D6" s="14">
        <v>100901506</v>
      </c>
      <c r="E6" s="15" t="s">
        <v>23</v>
      </c>
      <c r="F6" s="24"/>
      <c r="G6" s="12" t="s">
        <v>4</v>
      </c>
      <c r="H6" s="17">
        <f t="shared" si="1"/>
        <v>1019120304</v>
      </c>
      <c r="I6" s="14">
        <v>100901516</v>
      </c>
      <c r="J6" s="15" t="s">
        <v>24</v>
      </c>
      <c r="K6" s="24"/>
      <c r="L6" s="12" t="s">
        <v>4</v>
      </c>
      <c r="M6" s="17">
        <f t="shared" si="2"/>
        <v>1019120404</v>
      </c>
      <c r="N6" s="14">
        <v>100901528</v>
      </c>
      <c r="O6" s="15" t="s">
        <v>25</v>
      </c>
      <c r="P6" s="24"/>
      <c r="Q6" s="12" t="s">
        <v>4</v>
      </c>
      <c r="R6" s="17">
        <f t="shared" si="3"/>
        <v>1019120504</v>
      </c>
      <c r="S6" s="14">
        <v>100902184</v>
      </c>
      <c r="T6" s="18" t="s">
        <v>26</v>
      </c>
      <c r="U6" s="5"/>
      <c r="V6" s="20" t="s">
        <v>4</v>
      </c>
      <c r="W6" s="21">
        <f t="shared" ref="W6" si="6">+R6+100</f>
        <v>1019120604</v>
      </c>
      <c r="X6" s="23">
        <v>100902193</v>
      </c>
      <c r="Y6" s="22" t="s">
        <v>27</v>
      </c>
      <c r="Z6" s="25"/>
      <c r="AA6" s="12"/>
      <c r="AB6" s="17"/>
      <c r="AC6" s="14"/>
      <c r="AD6" s="18"/>
      <c r="AE6" s="24"/>
      <c r="AF6" s="12"/>
      <c r="AG6" s="17"/>
      <c r="AH6" s="14"/>
      <c r="AI6" s="18"/>
    </row>
    <row r="7" spans="2:35" x14ac:dyDescent="0.25">
      <c r="B7" s="12" t="s">
        <v>4</v>
      </c>
      <c r="C7" s="17">
        <f t="shared" si="0"/>
        <v>1019120205</v>
      </c>
      <c r="D7" s="14">
        <v>100901507</v>
      </c>
      <c r="E7" s="15" t="s">
        <v>28</v>
      </c>
      <c r="F7" s="24"/>
      <c r="G7" s="12" t="s">
        <v>4</v>
      </c>
      <c r="H7" s="17">
        <f t="shared" si="1"/>
        <v>1019120305</v>
      </c>
      <c r="I7" s="14">
        <v>100901517</v>
      </c>
      <c r="J7" s="15" t="s">
        <v>29</v>
      </c>
      <c r="K7" s="24"/>
      <c r="L7" s="12" t="s">
        <v>4</v>
      </c>
      <c r="M7" s="17">
        <f t="shared" si="2"/>
        <v>1019120405</v>
      </c>
      <c r="N7" s="14">
        <v>100901529</v>
      </c>
      <c r="O7" s="15" t="s">
        <v>30</v>
      </c>
      <c r="P7" s="24"/>
      <c r="Q7" s="12" t="s">
        <v>4</v>
      </c>
      <c r="R7" s="17">
        <f t="shared" si="3"/>
        <v>1019120505</v>
      </c>
      <c r="S7" s="14">
        <v>100902185</v>
      </c>
      <c r="T7" s="18" t="s">
        <v>31</v>
      </c>
      <c r="U7" s="5"/>
      <c r="V7" s="26"/>
      <c r="W7" s="27"/>
      <c r="X7" s="28"/>
      <c r="Y7" s="29"/>
      <c r="Z7" s="24"/>
      <c r="AA7" s="30"/>
      <c r="AB7" s="31"/>
      <c r="AC7" s="32"/>
      <c r="AD7" s="33"/>
      <c r="AE7" s="24"/>
      <c r="AF7" s="12"/>
      <c r="AG7" s="17"/>
      <c r="AH7" s="14"/>
      <c r="AI7" s="18"/>
    </row>
    <row r="8" spans="2:35" x14ac:dyDescent="0.25">
      <c r="B8" s="12"/>
      <c r="C8" s="17"/>
      <c r="D8" s="14"/>
      <c r="E8" s="15"/>
      <c r="F8" s="24"/>
      <c r="G8" s="12"/>
      <c r="H8" s="17"/>
      <c r="I8" s="14"/>
      <c r="J8" s="15"/>
      <c r="K8" s="24"/>
      <c r="L8" s="12"/>
      <c r="M8" s="17"/>
      <c r="N8" s="14"/>
      <c r="O8" s="15"/>
      <c r="P8" s="24"/>
      <c r="Q8" s="26"/>
      <c r="R8" s="27"/>
      <c r="S8" s="28"/>
      <c r="T8" s="29"/>
      <c r="U8" s="5"/>
      <c r="V8" s="26"/>
      <c r="W8" s="27"/>
      <c r="X8" s="28"/>
      <c r="Y8" s="29"/>
      <c r="Z8" s="24"/>
      <c r="AA8" s="30"/>
      <c r="AB8" s="31"/>
      <c r="AC8" s="32"/>
      <c r="AD8" s="33"/>
      <c r="AE8" s="24"/>
      <c r="AF8" s="12"/>
      <c r="AG8" s="17"/>
      <c r="AH8" s="14"/>
      <c r="AI8" s="18"/>
    </row>
    <row r="9" spans="2:35" x14ac:dyDescent="0.25">
      <c r="B9" s="12"/>
      <c r="C9" s="17"/>
      <c r="D9" s="34"/>
      <c r="E9" s="35"/>
      <c r="F9" s="36"/>
      <c r="G9" s="12"/>
      <c r="H9" s="17"/>
      <c r="I9" s="14"/>
      <c r="J9" s="30"/>
      <c r="K9" s="36"/>
      <c r="L9" s="37"/>
      <c r="M9" s="38"/>
      <c r="N9" s="39"/>
      <c r="O9" s="40"/>
      <c r="P9" s="36"/>
      <c r="Q9" s="41"/>
      <c r="R9" s="42"/>
      <c r="S9" s="43"/>
      <c r="T9" s="44"/>
      <c r="U9" s="5"/>
      <c r="V9" s="41"/>
      <c r="W9" s="42"/>
      <c r="X9" s="43"/>
      <c r="Y9" s="44"/>
      <c r="Z9" s="36"/>
      <c r="AA9" s="45"/>
      <c r="AB9" s="46"/>
      <c r="AC9" s="34"/>
      <c r="AD9" s="35"/>
      <c r="AE9" s="36"/>
      <c r="AF9" s="37"/>
      <c r="AG9" s="38"/>
      <c r="AH9" s="39"/>
      <c r="AI9" s="40"/>
    </row>
    <row r="10" spans="2:35" x14ac:dyDescent="0.25">
      <c r="B10" s="12"/>
      <c r="C10" s="17"/>
      <c r="D10" s="34"/>
      <c r="E10" s="35"/>
      <c r="F10" s="36"/>
      <c r="G10" s="12"/>
      <c r="H10" s="17"/>
      <c r="I10" s="34"/>
      <c r="J10" s="47"/>
      <c r="K10" s="36"/>
      <c r="L10" s="37"/>
      <c r="M10" s="38"/>
      <c r="N10" s="39"/>
      <c r="O10" s="40"/>
      <c r="P10" s="36"/>
      <c r="Q10" s="41"/>
      <c r="R10" s="42"/>
      <c r="S10" s="43"/>
      <c r="T10" s="44"/>
      <c r="U10" s="5"/>
      <c r="V10" s="41"/>
      <c r="W10" s="42"/>
      <c r="X10" s="43"/>
      <c r="Y10" s="44"/>
      <c r="Z10" s="36"/>
      <c r="AA10" s="45"/>
      <c r="AB10" s="46"/>
      <c r="AC10" s="34"/>
      <c r="AD10" s="35"/>
      <c r="AE10" s="36"/>
      <c r="AF10" s="37"/>
      <c r="AG10" s="38"/>
      <c r="AH10" s="39"/>
      <c r="AI10" s="40"/>
    </row>
    <row r="11" spans="2:35" x14ac:dyDescent="0.25">
      <c r="B11" s="45"/>
      <c r="C11" s="46"/>
      <c r="D11" s="34"/>
      <c r="E11" s="35"/>
      <c r="F11" s="36"/>
      <c r="G11" s="45"/>
      <c r="H11" s="46"/>
      <c r="I11" s="34"/>
      <c r="J11" s="47"/>
      <c r="K11" s="36"/>
      <c r="L11" s="37"/>
      <c r="M11" s="38"/>
      <c r="N11" s="39"/>
      <c r="O11" s="40"/>
      <c r="P11" s="36"/>
      <c r="Q11" s="41"/>
      <c r="R11" s="42"/>
      <c r="S11" s="43"/>
      <c r="T11" s="44"/>
      <c r="U11" s="5"/>
      <c r="V11" s="41"/>
      <c r="W11" s="42"/>
      <c r="X11" s="43"/>
      <c r="Y11" s="44"/>
      <c r="Z11" s="36"/>
      <c r="AA11" s="45"/>
      <c r="AB11" s="46"/>
      <c r="AC11" s="34"/>
      <c r="AD11" s="35"/>
      <c r="AE11" s="36"/>
      <c r="AF11" s="37"/>
      <c r="AG11" s="38"/>
      <c r="AH11" s="39"/>
      <c r="AI11" s="40"/>
    </row>
    <row r="12" spans="2:35" x14ac:dyDescent="0.25">
      <c r="B12" s="48" t="s">
        <v>32</v>
      </c>
      <c r="C12" s="48">
        <f>C7+1</f>
        <v>1019120206</v>
      </c>
      <c r="D12" s="49">
        <v>100901508</v>
      </c>
      <c r="E12" s="50" t="s">
        <v>33</v>
      </c>
      <c r="F12" s="24"/>
      <c r="G12" s="48" t="s">
        <v>32</v>
      </c>
      <c r="H12" s="48">
        <f>H7+1</f>
        <v>1019120306</v>
      </c>
      <c r="I12" s="49">
        <v>100901518</v>
      </c>
      <c r="J12" s="50" t="s">
        <v>34</v>
      </c>
      <c r="K12" s="24"/>
      <c r="L12" s="48" t="s">
        <v>32</v>
      </c>
      <c r="M12" s="48">
        <f>M7+1</f>
        <v>1019120406</v>
      </c>
      <c r="N12" s="49">
        <v>100901530</v>
      </c>
      <c r="O12" s="50" t="s">
        <v>35</v>
      </c>
      <c r="P12" s="24"/>
      <c r="Q12" s="51" t="s">
        <v>32</v>
      </c>
      <c r="R12" s="51">
        <f>+R7+1</f>
        <v>1019120506</v>
      </c>
      <c r="S12" s="52">
        <v>100902186</v>
      </c>
      <c r="T12" s="53" t="s">
        <v>36</v>
      </c>
      <c r="U12" s="54"/>
      <c r="V12" s="51" t="s">
        <v>32</v>
      </c>
      <c r="W12" s="51">
        <f>+W6+1</f>
        <v>1019120605</v>
      </c>
      <c r="X12" s="52">
        <v>100902194</v>
      </c>
      <c r="Y12" s="53" t="s">
        <v>37</v>
      </c>
      <c r="Z12" s="55"/>
      <c r="AA12" s="56" t="s">
        <v>32</v>
      </c>
      <c r="AB12" s="56">
        <f>+AB5+1</f>
        <v>1019120704</v>
      </c>
      <c r="AC12" s="57">
        <v>100902201</v>
      </c>
      <c r="AD12" s="58" t="s">
        <v>38</v>
      </c>
      <c r="AE12" s="55"/>
      <c r="AF12" s="56" t="s">
        <v>32</v>
      </c>
      <c r="AG12" s="59" t="str">
        <f>CONCATENATE("1019","12","08","01")</f>
        <v>1019120801</v>
      </c>
      <c r="AH12" s="57">
        <v>100902204</v>
      </c>
      <c r="AI12" s="58" t="s">
        <v>39</v>
      </c>
    </row>
    <row r="13" spans="2:35" x14ac:dyDescent="0.25">
      <c r="B13" s="48" t="s">
        <v>32</v>
      </c>
      <c r="C13" s="48">
        <f>C12+1</f>
        <v>1019120207</v>
      </c>
      <c r="D13" s="49">
        <v>100901509</v>
      </c>
      <c r="E13" s="50" t="s">
        <v>40</v>
      </c>
      <c r="F13" s="24"/>
      <c r="G13" s="48" t="s">
        <v>32</v>
      </c>
      <c r="H13" s="48">
        <f>H12+1</f>
        <v>1019120307</v>
      </c>
      <c r="I13" s="49">
        <v>100901519</v>
      </c>
      <c r="J13" s="50" t="s">
        <v>41</v>
      </c>
      <c r="K13" s="24"/>
      <c r="L13" s="51" t="s">
        <v>32</v>
      </c>
      <c r="M13" s="51">
        <f>M12+1</f>
        <v>1019120407</v>
      </c>
      <c r="N13" s="52">
        <v>100901531</v>
      </c>
      <c r="O13" s="53" t="s">
        <v>42</v>
      </c>
      <c r="P13" s="24"/>
      <c r="Q13" s="51" t="s">
        <v>32</v>
      </c>
      <c r="R13" s="51">
        <f>R12+1</f>
        <v>1019120507</v>
      </c>
      <c r="S13" s="52">
        <v>100902187</v>
      </c>
      <c r="T13" s="53" t="s">
        <v>43</v>
      </c>
      <c r="U13" s="54"/>
      <c r="V13" s="56" t="s">
        <v>32</v>
      </c>
      <c r="W13" s="56">
        <f>+W12+1</f>
        <v>1019120606</v>
      </c>
      <c r="X13" s="57">
        <v>100902195</v>
      </c>
      <c r="Y13" s="58" t="s">
        <v>44</v>
      </c>
      <c r="Z13" s="55"/>
      <c r="AA13" s="56" t="s">
        <v>32</v>
      </c>
      <c r="AB13" s="56">
        <f>AB12+1</f>
        <v>1019120705</v>
      </c>
      <c r="AC13" s="57">
        <v>100902202</v>
      </c>
      <c r="AD13" s="58" t="s">
        <v>45</v>
      </c>
      <c r="AE13" s="55"/>
      <c r="AF13" s="56" t="s">
        <v>32</v>
      </c>
      <c r="AG13" s="56">
        <f>AG12+1</f>
        <v>1019120802</v>
      </c>
      <c r="AH13" s="57">
        <v>100902205</v>
      </c>
      <c r="AI13" s="58" t="s">
        <v>46</v>
      </c>
    </row>
    <row r="14" spans="2:35" x14ac:dyDescent="0.25">
      <c r="B14" s="48" t="s">
        <v>32</v>
      </c>
      <c r="C14" s="48">
        <f>C13+1</f>
        <v>1019120208</v>
      </c>
      <c r="D14" s="49">
        <v>100901510</v>
      </c>
      <c r="E14" s="50" t="s">
        <v>47</v>
      </c>
      <c r="F14" s="24"/>
      <c r="G14" s="48" t="s">
        <v>32</v>
      </c>
      <c r="H14" s="48">
        <f>H13+1</f>
        <v>1019120308</v>
      </c>
      <c r="I14" s="49">
        <v>100901520</v>
      </c>
      <c r="J14" s="50" t="s">
        <v>48</v>
      </c>
      <c r="K14" s="24"/>
      <c r="L14" s="51" t="s">
        <v>32</v>
      </c>
      <c r="M14" s="51">
        <f>M13+1</f>
        <v>1019120408</v>
      </c>
      <c r="N14" s="52">
        <v>100901532</v>
      </c>
      <c r="O14" s="53" t="s">
        <v>49</v>
      </c>
      <c r="P14" s="24"/>
      <c r="Q14" s="51" t="s">
        <v>32</v>
      </c>
      <c r="R14" s="51">
        <f>R13+1</f>
        <v>1019120508</v>
      </c>
      <c r="S14" s="52">
        <v>100902188</v>
      </c>
      <c r="T14" s="53" t="s">
        <v>50</v>
      </c>
      <c r="U14" s="54"/>
      <c r="V14" s="56" t="s">
        <v>32</v>
      </c>
      <c r="W14" s="56">
        <f t="shared" ref="W14:W15" si="7">+W13+1</f>
        <v>1019120607</v>
      </c>
      <c r="X14" s="57">
        <v>100902196</v>
      </c>
      <c r="Y14" s="58" t="s">
        <v>51</v>
      </c>
      <c r="Z14" s="55"/>
      <c r="AA14" s="56" t="s">
        <v>32</v>
      </c>
      <c r="AB14" s="56">
        <f>AB13+1</f>
        <v>1019120706</v>
      </c>
      <c r="AC14" s="57">
        <v>100902203</v>
      </c>
      <c r="AD14" s="58" t="s">
        <v>52</v>
      </c>
      <c r="AE14" s="55"/>
      <c r="AF14" s="56" t="s">
        <v>32</v>
      </c>
      <c r="AG14" s="56">
        <f>AG13+1</f>
        <v>1019120803</v>
      </c>
      <c r="AH14" s="57">
        <v>100902206</v>
      </c>
      <c r="AI14" s="58" t="s">
        <v>53</v>
      </c>
    </row>
    <row r="15" spans="2:35" x14ac:dyDescent="0.25">
      <c r="B15" s="48"/>
      <c r="C15" s="48"/>
      <c r="D15" s="49"/>
      <c r="E15" s="50"/>
      <c r="F15" s="24"/>
      <c r="G15" s="48" t="s">
        <v>32</v>
      </c>
      <c r="H15" s="48">
        <f>H14+1</f>
        <v>1019120309</v>
      </c>
      <c r="I15" s="49">
        <v>100901521</v>
      </c>
      <c r="J15" s="50" t="s">
        <v>54</v>
      </c>
      <c r="K15" s="24"/>
      <c r="L15" s="51" t="s">
        <v>32</v>
      </c>
      <c r="M15" s="51">
        <f>M14+1</f>
        <v>1019120409</v>
      </c>
      <c r="N15" s="52">
        <v>100901533</v>
      </c>
      <c r="O15" s="53" t="s">
        <v>55</v>
      </c>
      <c r="P15" s="24"/>
      <c r="Q15" s="51" t="s">
        <v>32</v>
      </c>
      <c r="R15" s="51">
        <f>R14+1</f>
        <v>1019120509</v>
      </c>
      <c r="S15" s="52">
        <v>100902189</v>
      </c>
      <c r="T15" s="53" t="s">
        <v>56</v>
      </c>
      <c r="U15" s="54"/>
      <c r="V15" s="56" t="s">
        <v>32</v>
      </c>
      <c r="W15" s="56">
        <f t="shared" si="7"/>
        <v>1019120608</v>
      </c>
      <c r="X15" s="57">
        <v>100902197</v>
      </c>
      <c r="Y15" s="58" t="s">
        <v>57</v>
      </c>
      <c r="Z15" s="24"/>
      <c r="AA15" s="48"/>
      <c r="AB15" s="48"/>
      <c r="AC15" s="60"/>
      <c r="AD15" s="33"/>
      <c r="AE15" s="24"/>
      <c r="AF15" s="48"/>
      <c r="AG15" s="48"/>
      <c r="AH15" s="49"/>
      <c r="AI15" s="50"/>
    </row>
    <row r="16" spans="2:35" x14ac:dyDescent="0.25">
      <c r="B16" s="61"/>
      <c r="C16" s="62"/>
      <c r="D16" s="34"/>
      <c r="E16" s="63"/>
      <c r="F16" s="36"/>
      <c r="G16" s="61"/>
      <c r="H16" s="62"/>
      <c r="I16" s="34"/>
      <c r="J16" s="63"/>
      <c r="K16" s="36"/>
      <c r="L16" s="48"/>
      <c r="M16" s="48"/>
      <c r="N16" s="64"/>
      <c r="O16" s="65"/>
      <c r="P16" s="36"/>
      <c r="Q16" s="26"/>
      <c r="R16" s="26"/>
      <c r="S16" s="26"/>
      <c r="T16" s="66"/>
      <c r="U16" s="5"/>
      <c r="V16" s="67"/>
      <c r="W16" s="68"/>
      <c r="X16" s="43"/>
      <c r="Y16" s="66"/>
      <c r="Z16" s="36"/>
      <c r="AA16" s="61"/>
      <c r="AB16" s="62"/>
      <c r="AC16" s="30"/>
      <c r="AD16" s="63"/>
      <c r="AE16" s="36"/>
      <c r="AF16" s="69"/>
      <c r="AG16" s="70"/>
      <c r="AH16" s="48"/>
      <c r="AI16" s="65"/>
    </row>
    <row r="17" spans="2:35" x14ac:dyDescent="0.25">
      <c r="B17" s="61"/>
      <c r="C17" s="62"/>
      <c r="D17" s="71"/>
      <c r="E17" s="63"/>
      <c r="F17" s="36"/>
      <c r="G17" s="61"/>
      <c r="H17" s="62"/>
      <c r="I17" s="34"/>
      <c r="J17" s="63"/>
      <c r="K17" s="36"/>
      <c r="L17" s="69"/>
      <c r="M17" s="70"/>
      <c r="N17" s="64"/>
      <c r="O17" s="65"/>
      <c r="P17" s="36"/>
      <c r="Q17" s="67"/>
      <c r="R17" s="68"/>
      <c r="S17" s="72"/>
      <c r="T17" s="66"/>
      <c r="U17" s="5"/>
      <c r="V17" s="67"/>
      <c r="W17" s="68"/>
      <c r="X17" s="73"/>
      <c r="Y17" s="66"/>
      <c r="Z17" s="36"/>
      <c r="AA17" s="61"/>
      <c r="AB17" s="62"/>
      <c r="AC17" s="47"/>
      <c r="AD17" s="63"/>
      <c r="AE17" s="36"/>
      <c r="AF17" s="69"/>
      <c r="AG17" s="70"/>
      <c r="AH17" s="74"/>
      <c r="AI17" s="65"/>
    </row>
    <row r="18" spans="2:35" x14ac:dyDescent="0.25">
      <c r="B18" s="19" t="s">
        <v>58</v>
      </c>
      <c r="C18" s="17" t="str">
        <f>CONCATENATE("1219","12","02","01")</f>
        <v>1219120201</v>
      </c>
      <c r="D18" s="18">
        <v>100901511</v>
      </c>
      <c r="E18" s="15" t="s">
        <v>59</v>
      </c>
      <c r="F18" s="25"/>
      <c r="G18" s="19" t="s">
        <v>58</v>
      </c>
      <c r="H18" s="17">
        <f>C18+100</f>
        <v>1219120301</v>
      </c>
      <c r="I18" s="14">
        <v>100901522</v>
      </c>
      <c r="J18" s="15" t="s">
        <v>60</v>
      </c>
      <c r="K18" s="25"/>
      <c r="L18" s="19" t="s">
        <v>58</v>
      </c>
      <c r="M18" s="17">
        <f>+H18+100</f>
        <v>1219120401</v>
      </c>
      <c r="N18" s="14">
        <v>100901534</v>
      </c>
      <c r="O18" s="15" t="s">
        <v>61</v>
      </c>
      <c r="P18" s="25"/>
      <c r="Q18" s="19" t="s">
        <v>58</v>
      </c>
      <c r="R18" s="17">
        <f>+M18+100</f>
        <v>1219120501</v>
      </c>
      <c r="S18" s="15">
        <v>100902207</v>
      </c>
      <c r="T18" s="15" t="s">
        <v>62</v>
      </c>
      <c r="U18" s="5"/>
      <c r="V18" s="75" t="s">
        <v>58</v>
      </c>
      <c r="W18" s="21">
        <f>R18+100</f>
        <v>1219120601</v>
      </c>
      <c r="X18" s="76">
        <v>100902210</v>
      </c>
      <c r="Y18" s="76" t="s">
        <v>63</v>
      </c>
      <c r="Z18" s="25"/>
      <c r="AA18" s="75" t="s">
        <v>58</v>
      </c>
      <c r="AB18" s="21">
        <f>+W18+100</f>
        <v>1219120701</v>
      </c>
      <c r="AC18" s="76">
        <v>100902212</v>
      </c>
      <c r="AD18" s="76" t="s">
        <v>64</v>
      </c>
      <c r="AE18" s="25"/>
      <c r="AF18" s="77"/>
      <c r="AG18" s="17"/>
      <c r="AH18" s="78"/>
      <c r="AI18" s="78"/>
    </row>
    <row r="19" spans="2:35" x14ac:dyDescent="0.25">
      <c r="B19" s="19" t="s">
        <v>58</v>
      </c>
      <c r="C19" s="17">
        <f>C18+1</f>
        <v>1219120202</v>
      </c>
      <c r="D19" s="18">
        <v>100901512</v>
      </c>
      <c r="E19" s="15" t="s">
        <v>65</v>
      </c>
      <c r="F19" s="25"/>
      <c r="G19" s="19" t="s">
        <v>58</v>
      </c>
      <c r="H19" s="17">
        <f>+H18+1</f>
        <v>1219120302</v>
      </c>
      <c r="I19" s="14">
        <v>100901523</v>
      </c>
      <c r="J19" s="15" t="s">
        <v>66</v>
      </c>
      <c r="K19" s="25"/>
      <c r="L19" s="19" t="s">
        <v>58</v>
      </c>
      <c r="M19" s="17">
        <f>+M18+1</f>
        <v>1219120402</v>
      </c>
      <c r="N19" s="14">
        <v>100901535</v>
      </c>
      <c r="O19" s="15" t="s">
        <v>67</v>
      </c>
      <c r="P19" s="25"/>
      <c r="Q19" s="19" t="s">
        <v>58</v>
      </c>
      <c r="R19" s="17">
        <f>+R18+1</f>
        <v>1219120502</v>
      </c>
      <c r="S19" s="14">
        <v>100902208</v>
      </c>
      <c r="T19" s="15" t="s">
        <v>68</v>
      </c>
      <c r="U19" s="5"/>
      <c r="V19" s="75" t="s">
        <v>58</v>
      </c>
      <c r="W19" s="21">
        <f>W18+1</f>
        <v>1219120602</v>
      </c>
      <c r="X19" s="76">
        <v>100902211</v>
      </c>
      <c r="Y19" s="76" t="s">
        <v>69</v>
      </c>
      <c r="Z19" s="25"/>
      <c r="AA19" s="75" t="s">
        <v>58</v>
      </c>
      <c r="AB19" s="21">
        <f>AB18+1</f>
        <v>1219120702</v>
      </c>
      <c r="AC19" s="76">
        <v>100902213</v>
      </c>
      <c r="AD19" s="76" t="s">
        <v>70</v>
      </c>
      <c r="AE19" s="25"/>
      <c r="AF19" s="77"/>
      <c r="AG19" s="17"/>
      <c r="AH19" s="78"/>
      <c r="AI19" s="78"/>
    </row>
    <row r="20" spans="2:35" x14ac:dyDescent="0.25">
      <c r="B20" s="19"/>
      <c r="C20" s="17"/>
      <c r="D20" s="18"/>
      <c r="E20" s="18"/>
      <c r="F20" s="25"/>
      <c r="G20" s="19" t="s">
        <v>58</v>
      </c>
      <c r="H20" s="17">
        <f>+H19+1</f>
        <v>1219120303</v>
      </c>
      <c r="I20" s="14">
        <v>100901524</v>
      </c>
      <c r="J20" s="15" t="s">
        <v>71</v>
      </c>
      <c r="K20" s="25"/>
      <c r="L20" s="19" t="s">
        <v>58</v>
      </c>
      <c r="M20" s="17">
        <f>M19+1</f>
        <v>1219120403</v>
      </c>
      <c r="N20" s="14">
        <v>100901536</v>
      </c>
      <c r="O20" s="15" t="s">
        <v>72</v>
      </c>
      <c r="P20" s="25"/>
      <c r="Q20" s="19" t="s">
        <v>58</v>
      </c>
      <c r="R20" s="17">
        <f>+R19+1</f>
        <v>1219120503</v>
      </c>
      <c r="S20" s="15">
        <v>100902209</v>
      </c>
      <c r="T20" s="15" t="s">
        <v>73</v>
      </c>
      <c r="U20" s="5"/>
      <c r="V20" s="19"/>
      <c r="W20" s="17"/>
      <c r="X20" s="28"/>
      <c r="Y20" s="28"/>
      <c r="Z20" s="25"/>
      <c r="AA20" s="12"/>
      <c r="AB20" s="31"/>
      <c r="AC20" s="79"/>
      <c r="AD20" s="79"/>
      <c r="AE20" s="25"/>
      <c r="AF20" s="77"/>
      <c r="AG20" s="17"/>
      <c r="AH20" s="78"/>
      <c r="AI20" s="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2019-12-16T15:13:09Z</dcterms:created>
  <dcterms:modified xsi:type="dcterms:W3CDTF">2019-12-18T09:24:59Z</dcterms:modified>
</cp:coreProperties>
</file>