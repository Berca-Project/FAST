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Temp\FAST\WPP\"/>
    </mc:Choice>
  </mc:AlternateContent>
  <xr:revisionPtr revIDLastSave="0" documentId="13_ncr:1_{F0DE7197-B564-4095-ABF4-6AB295C24337}" xr6:coauthVersionLast="41" xr6:coauthVersionMax="41" xr10:uidLastSave="{00000000-0000-0000-0000-000000000000}"/>
  <bookViews>
    <workbookView xWindow="-108" yWindow="-108" windowWidth="23256" windowHeight="12576" tabRatio="560" xr2:uid="{00000000-000D-0000-FFFF-FFFF00000000}"/>
  </bookViews>
  <sheets>
    <sheet name="Simulasi" sheetId="1" r:id="rId1"/>
  </sheets>
  <externalReferences>
    <externalReference r:id="rId2"/>
    <externalReference r:id="rId3"/>
    <externalReference r:id="rId4"/>
  </externalReferences>
  <definedNames>
    <definedName name="_Fill" hidden="1">#REF!</definedName>
    <definedName name="_Regression_Int">1</definedName>
    <definedName name="BDRL">#REF!</definedName>
    <definedName name="BRAND">[1]SETUP!$D$1:$E$38</definedName>
    <definedName name="cap_sktis">#REF!</definedName>
    <definedName name="CAP_TPO">#REF!</definedName>
    <definedName name="cost">#REF!</definedName>
    <definedName name="cost2">#REF!</definedName>
    <definedName name="DCEK">#REF!</definedName>
    <definedName name="grup_wh">#REF!</definedName>
    <definedName name="kolom">#REF!</definedName>
    <definedName name="MDATA">#REF!</definedName>
    <definedName name="mesin">#REF!</definedName>
    <definedName name="PAKET">#REF!</definedName>
    <definedName name="_xlnm.Print_Area" localSheetId="0">Simulasi!$B$1:$V$119</definedName>
    <definedName name="_xlnm.Print_Area">[2]ODR!#REF!</definedName>
    <definedName name="Print_Area_MI">[2]ODR!#REF!</definedName>
    <definedName name="RawData">#REF!</definedName>
    <definedName name="RawHeader">#REF!</definedName>
    <definedName name="sales">#REF!</definedName>
    <definedName name="skt_m">#REF!</definedName>
    <definedName name="skt_m2">#REF!</definedName>
    <definedName name="skt_time">#REF!</definedName>
    <definedName name="speed_hr">#REF!</definedName>
    <definedName name="St_Box">#REF!</definedName>
    <definedName name="unit_alloc">#REF!</definedName>
    <definedName name="unit_bran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18" i="1" l="1"/>
  <c r="N118" i="1"/>
  <c r="J117" i="1"/>
  <c r="I117" i="1"/>
  <c r="H117" i="1"/>
  <c r="G117" i="1"/>
  <c r="F117" i="1"/>
  <c r="E117" i="1"/>
  <c r="D117" i="1"/>
  <c r="B117" i="1"/>
  <c r="D116" i="1"/>
  <c r="V114" i="1"/>
  <c r="N114" i="1"/>
  <c r="V113" i="1"/>
  <c r="N113" i="1"/>
  <c r="J112" i="1"/>
  <c r="I112" i="1"/>
  <c r="H112" i="1"/>
  <c r="G112" i="1"/>
  <c r="F112" i="1"/>
  <c r="E112" i="1"/>
  <c r="D112" i="1"/>
  <c r="B112" i="1"/>
  <c r="D111" i="1"/>
  <c r="V109" i="1"/>
  <c r="N109" i="1"/>
  <c r="V108" i="1"/>
  <c r="N108" i="1"/>
  <c r="V107" i="1"/>
  <c r="N107" i="1"/>
  <c r="J107" i="1"/>
  <c r="I107" i="1"/>
  <c r="H107" i="1"/>
  <c r="G107" i="1"/>
  <c r="F107" i="1"/>
  <c r="E107" i="1"/>
  <c r="D107" i="1"/>
  <c r="L107" i="1" s="1"/>
  <c r="B107" i="1"/>
  <c r="D106" i="1"/>
  <c r="V103" i="1"/>
  <c r="N103" i="1"/>
  <c r="J102" i="1"/>
  <c r="I102" i="1"/>
  <c r="H102" i="1"/>
  <c r="G102" i="1"/>
  <c r="F102" i="1"/>
  <c r="E102" i="1"/>
  <c r="D102" i="1"/>
  <c r="B102" i="1"/>
  <c r="D101" i="1"/>
  <c r="V98" i="1"/>
  <c r="N98" i="1"/>
  <c r="B98" i="1"/>
  <c r="V97" i="1"/>
  <c r="N97" i="1"/>
  <c r="J97" i="1"/>
  <c r="I97" i="1"/>
  <c r="H97" i="1"/>
  <c r="G97" i="1"/>
  <c r="F97" i="1"/>
  <c r="E97" i="1"/>
  <c r="L97" i="1" s="1"/>
  <c r="D97" i="1"/>
  <c r="B97" i="1"/>
  <c r="D96" i="1"/>
  <c r="D99" i="1" s="1"/>
  <c r="E96" i="1" s="1"/>
  <c r="E99" i="1" s="1"/>
  <c r="F96" i="1" s="1"/>
  <c r="F99" i="1" s="1"/>
  <c r="G96" i="1" s="1"/>
  <c r="G99" i="1" s="1"/>
  <c r="H96" i="1" s="1"/>
  <c r="H99" i="1" s="1"/>
  <c r="I96" i="1" s="1"/>
  <c r="I99" i="1" s="1"/>
  <c r="J96" i="1" s="1"/>
  <c r="J99" i="1" s="1"/>
  <c r="V94" i="1"/>
  <c r="N94" i="1"/>
  <c r="V93" i="1"/>
  <c r="N93" i="1"/>
  <c r="V92" i="1"/>
  <c r="N92" i="1"/>
  <c r="J92" i="1"/>
  <c r="I92" i="1"/>
  <c r="H92" i="1"/>
  <c r="G92" i="1"/>
  <c r="F92" i="1"/>
  <c r="E92" i="1"/>
  <c r="D92" i="1"/>
  <c r="B92" i="1"/>
  <c r="D91" i="1"/>
  <c r="B89" i="1"/>
  <c r="I88" i="1"/>
  <c r="H88" i="1"/>
  <c r="G88" i="1"/>
  <c r="F88" i="1"/>
  <c r="E88" i="1"/>
  <c r="J87" i="1"/>
  <c r="I87" i="1"/>
  <c r="H87" i="1"/>
  <c r="G87" i="1"/>
  <c r="F87" i="1"/>
  <c r="E87" i="1"/>
  <c r="D87" i="1"/>
  <c r="B87" i="1"/>
  <c r="D86" i="1"/>
  <c r="B84" i="1"/>
  <c r="D83" i="1" s="1"/>
  <c r="E83" i="1" s="1"/>
  <c r="F83" i="1" s="1"/>
  <c r="G83" i="1" s="1"/>
  <c r="H83" i="1" s="1"/>
  <c r="I83" i="1" s="1"/>
  <c r="J83" i="1" s="1"/>
  <c r="J82" i="1"/>
  <c r="I82" i="1"/>
  <c r="H82" i="1"/>
  <c r="G82" i="1"/>
  <c r="F82" i="1"/>
  <c r="E82" i="1"/>
  <c r="D82" i="1"/>
  <c r="L82" i="1" s="1"/>
  <c r="B82" i="1"/>
  <c r="D81" i="1"/>
  <c r="B79" i="1"/>
  <c r="D78" i="1"/>
  <c r="J77" i="1"/>
  <c r="I77" i="1"/>
  <c r="H77" i="1"/>
  <c r="G77" i="1"/>
  <c r="F77" i="1"/>
  <c r="E77" i="1"/>
  <c r="D77" i="1"/>
  <c r="B77" i="1"/>
  <c r="D76" i="1"/>
  <c r="B74" i="1"/>
  <c r="D73" i="1" s="1"/>
  <c r="E73" i="1" s="1"/>
  <c r="F73" i="1" s="1"/>
  <c r="G73" i="1" s="1"/>
  <c r="H73" i="1" s="1"/>
  <c r="I73" i="1" s="1"/>
  <c r="J73" i="1" s="1"/>
  <c r="J72" i="1"/>
  <c r="I72" i="1"/>
  <c r="H72" i="1"/>
  <c r="G72" i="1"/>
  <c r="F72" i="1"/>
  <c r="E72" i="1"/>
  <c r="D72" i="1"/>
  <c r="B72" i="1"/>
  <c r="D71" i="1"/>
  <c r="B69" i="1"/>
  <c r="D68" i="1" s="1"/>
  <c r="D69" i="1" s="1"/>
  <c r="E66" i="1" s="1"/>
  <c r="J67" i="1"/>
  <c r="I67" i="1"/>
  <c r="H67" i="1"/>
  <c r="G67" i="1"/>
  <c r="F67" i="1"/>
  <c r="E67" i="1"/>
  <c r="D67" i="1"/>
  <c r="B67" i="1"/>
  <c r="D66" i="1"/>
  <c r="B64" i="1"/>
  <c r="D63" i="1" s="1"/>
  <c r="E63" i="1" s="1"/>
  <c r="F63" i="1" s="1"/>
  <c r="G63" i="1" s="1"/>
  <c r="H63" i="1" s="1"/>
  <c r="I63" i="1" s="1"/>
  <c r="J63" i="1" s="1"/>
  <c r="J62" i="1"/>
  <c r="I62" i="1"/>
  <c r="H62" i="1"/>
  <c r="G62" i="1"/>
  <c r="F62" i="1"/>
  <c r="E62" i="1"/>
  <c r="D62" i="1"/>
  <c r="B62" i="1"/>
  <c r="D61" i="1"/>
  <c r="B59" i="1"/>
  <c r="D58" i="1"/>
  <c r="J57" i="1"/>
  <c r="I57" i="1"/>
  <c r="H57" i="1"/>
  <c r="G57" i="1"/>
  <c r="F57" i="1"/>
  <c r="E57" i="1"/>
  <c r="D57" i="1"/>
  <c r="B57" i="1"/>
  <c r="D56" i="1"/>
  <c r="D59" i="1" s="1"/>
  <c r="E56" i="1" s="1"/>
  <c r="B54" i="1"/>
  <c r="D53" i="1" s="1"/>
  <c r="J52" i="1"/>
  <c r="I52" i="1"/>
  <c r="H52" i="1"/>
  <c r="G52" i="1"/>
  <c r="F52" i="1"/>
  <c r="E52" i="1"/>
  <c r="D52" i="1"/>
  <c r="B52" i="1"/>
  <c r="D51" i="1"/>
  <c r="B49" i="1"/>
  <c r="D48" i="1" s="1"/>
  <c r="Z48" i="1"/>
  <c r="AA48" i="1" s="1"/>
  <c r="AB48" i="1" s="1"/>
  <c r="AC48" i="1" s="1"/>
  <c r="AD48" i="1" s="1"/>
  <c r="AE48" i="1" s="1"/>
  <c r="AF48" i="1" s="1"/>
  <c r="AF47" i="1"/>
  <c r="AE47" i="1"/>
  <c r="AD47" i="1"/>
  <c r="AC47" i="1"/>
  <c r="AB47" i="1"/>
  <c r="AA47" i="1"/>
  <c r="Z47" i="1"/>
  <c r="J47" i="1"/>
  <c r="I47" i="1"/>
  <c r="H47" i="1"/>
  <c r="G47" i="1"/>
  <c r="F47" i="1"/>
  <c r="E47" i="1"/>
  <c r="D47" i="1"/>
  <c r="B47" i="1"/>
  <c r="Z46" i="1"/>
  <c r="Z49" i="1" s="1"/>
  <c r="AA46" i="1" s="1"/>
  <c r="AA49" i="1" s="1"/>
  <c r="AB46" i="1" s="1"/>
  <c r="AB49" i="1" s="1"/>
  <c r="AC46" i="1" s="1"/>
  <c r="AC49" i="1" s="1"/>
  <c r="AD46" i="1" s="1"/>
  <c r="AD49" i="1" s="1"/>
  <c r="AE46" i="1" s="1"/>
  <c r="AE49" i="1" s="1"/>
  <c r="AF46" i="1" s="1"/>
  <c r="AF49" i="1" s="1"/>
  <c r="D46" i="1"/>
  <c r="Y44" i="1"/>
  <c r="B44" i="1"/>
  <c r="AB43" i="1"/>
  <c r="Y43" i="1"/>
  <c r="AA43" i="1" s="1"/>
  <c r="D43" i="1"/>
  <c r="E43" i="1" s="1"/>
  <c r="F43" i="1" s="1"/>
  <c r="G43" i="1" s="1"/>
  <c r="H43" i="1" s="1"/>
  <c r="I43" i="1" s="1"/>
  <c r="J43" i="1" s="1"/>
  <c r="AF42" i="1"/>
  <c r="AE42" i="1"/>
  <c r="AD42" i="1"/>
  <c r="AC42" i="1"/>
  <c r="AB42" i="1"/>
  <c r="AA42" i="1"/>
  <c r="Z42" i="1"/>
  <c r="J42" i="1"/>
  <c r="I42" i="1"/>
  <c r="H42" i="1"/>
  <c r="G42" i="1"/>
  <c r="F42" i="1"/>
  <c r="E42" i="1"/>
  <c r="D42" i="1"/>
  <c r="B42" i="1"/>
  <c r="Y41" i="1"/>
  <c r="D41" i="1"/>
  <c r="D44" i="1" s="1"/>
  <c r="E41" i="1" s="1"/>
  <c r="B39" i="1"/>
  <c r="D38" i="1" s="1"/>
  <c r="E38" i="1" s="1"/>
  <c r="F38" i="1" s="1"/>
  <c r="G38" i="1" s="1"/>
  <c r="H38" i="1" s="1"/>
  <c r="I38" i="1" s="1"/>
  <c r="J38" i="1" s="1"/>
  <c r="B38" i="1" s="1"/>
  <c r="Z38" i="1"/>
  <c r="AA38" i="1" s="1"/>
  <c r="AB38" i="1" s="1"/>
  <c r="AC38" i="1" s="1"/>
  <c r="AD38" i="1" s="1"/>
  <c r="AE38" i="1" s="1"/>
  <c r="AF38" i="1" s="1"/>
  <c r="AF37" i="1"/>
  <c r="AE37" i="1"/>
  <c r="AD37" i="1"/>
  <c r="AC37" i="1"/>
  <c r="AB37" i="1"/>
  <c r="AA37" i="1"/>
  <c r="Z37" i="1"/>
  <c r="J37" i="1"/>
  <c r="I37" i="1"/>
  <c r="H37" i="1"/>
  <c r="G37" i="1"/>
  <c r="F37" i="1"/>
  <c r="E37" i="1"/>
  <c r="D37" i="1"/>
  <c r="L37" i="1" s="1"/>
  <c r="B37" i="1"/>
  <c r="Z36" i="1"/>
  <c r="D36" i="1"/>
  <c r="D39" i="1" s="1"/>
  <c r="E36" i="1" s="1"/>
  <c r="E39" i="1" s="1"/>
  <c r="F36" i="1" s="1"/>
  <c r="F39" i="1" s="1"/>
  <c r="G36" i="1" s="1"/>
  <c r="G39" i="1" s="1"/>
  <c r="H36" i="1" s="1"/>
  <c r="B34" i="1"/>
  <c r="Z33" i="1"/>
  <c r="AA33" i="1" s="1"/>
  <c r="AB33" i="1" s="1"/>
  <c r="AC33" i="1" s="1"/>
  <c r="AD33" i="1" s="1"/>
  <c r="AE33" i="1" s="1"/>
  <c r="AF33" i="1" s="1"/>
  <c r="D33" i="1"/>
  <c r="AF32" i="1"/>
  <c r="AE32" i="1"/>
  <c r="AD32" i="1"/>
  <c r="AC32" i="1"/>
  <c r="AB32" i="1"/>
  <c r="AA32" i="1"/>
  <c r="Z32" i="1"/>
  <c r="J32" i="1"/>
  <c r="I32" i="1"/>
  <c r="H32" i="1"/>
  <c r="G32" i="1"/>
  <c r="F32" i="1"/>
  <c r="E32" i="1"/>
  <c r="D32" i="1"/>
  <c r="B32" i="1"/>
  <c r="D31" i="1"/>
  <c r="B29" i="1"/>
  <c r="Z28" i="1" s="1"/>
  <c r="AA28" i="1" s="1"/>
  <c r="AB28" i="1" s="1"/>
  <c r="AC28" i="1" s="1"/>
  <c r="AD28" i="1"/>
  <c r="AE28" i="1" s="1"/>
  <c r="AF28" i="1" s="1"/>
  <c r="V28" i="1"/>
  <c r="D28" i="1"/>
  <c r="E28" i="1" s="1"/>
  <c r="F28" i="1" s="1"/>
  <c r="G28" i="1" s="1"/>
  <c r="H28" i="1" s="1"/>
  <c r="I28" i="1" s="1"/>
  <c r="AF27" i="1"/>
  <c r="AE27" i="1"/>
  <c r="AD27" i="1"/>
  <c r="AC27" i="1"/>
  <c r="AB27" i="1"/>
  <c r="AA27" i="1"/>
  <c r="Z27" i="1"/>
  <c r="J27" i="1"/>
  <c r="I27" i="1"/>
  <c r="H27" i="1"/>
  <c r="G27" i="1"/>
  <c r="F27" i="1"/>
  <c r="E27" i="1"/>
  <c r="D27" i="1"/>
  <c r="L27" i="1" s="1"/>
  <c r="B27" i="1"/>
  <c r="D26" i="1"/>
  <c r="V25" i="1"/>
  <c r="Y24" i="1"/>
  <c r="V24" i="1"/>
  <c r="N24" i="1"/>
  <c r="B24" i="1"/>
  <c r="Y23" i="1"/>
  <c r="Z23" i="1" s="1"/>
  <c r="U23" i="1"/>
  <c r="T23" i="1"/>
  <c r="S23" i="1"/>
  <c r="R23" i="1"/>
  <c r="Q23" i="1"/>
  <c r="V23" i="1" s="1"/>
  <c r="P23" i="1"/>
  <c r="O23" i="1"/>
  <c r="N23" i="1"/>
  <c r="D23" i="1"/>
  <c r="E23" i="1" s="1"/>
  <c r="AF22" i="1"/>
  <c r="AE22" i="1"/>
  <c r="AD22" i="1"/>
  <c r="AC22" i="1"/>
  <c r="AB22" i="1"/>
  <c r="AA22" i="1"/>
  <c r="Z22" i="1"/>
  <c r="U22" i="1"/>
  <c r="T22" i="1"/>
  <c r="S22" i="1"/>
  <c r="R22" i="1"/>
  <c r="V22" i="1" s="1"/>
  <c r="Q22" i="1"/>
  <c r="P22" i="1"/>
  <c r="O22" i="1"/>
  <c r="N22" i="1"/>
  <c r="J22" i="1"/>
  <c r="I22" i="1"/>
  <c r="H22" i="1"/>
  <c r="G22" i="1"/>
  <c r="F22" i="1"/>
  <c r="E22" i="1"/>
  <c r="D22" i="1"/>
  <c r="B22" i="1"/>
  <c r="Y21" i="1"/>
  <c r="V21" i="1"/>
  <c r="N21" i="1"/>
  <c r="D21" i="1"/>
  <c r="D24" i="1" s="1"/>
  <c r="E21" i="1" s="1"/>
  <c r="E24" i="1" s="1"/>
  <c r="F21" i="1" s="1"/>
  <c r="U20" i="1"/>
  <c r="T20" i="1"/>
  <c r="S20" i="1"/>
  <c r="R20" i="1"/>
  <c r="Q20" i="1"/>
  <c r="P20" i="1"/>
  <c r="O20" i="1"/>
  <c r="N20" i="1"/>
  <c r="U19" i="1"/>
  <c r="T19" i="1"/>
  <c r="S19" i="1"/>
  <c r="R19" i="1"/>
  <c r="Q19" i="1"/>
  <c r="P19" i="1"/>
  <c r="O19" i="1"/>
  <c r="N19" i="1"/>
  <c r="Z18" i="1"/>
  <c r="AA18" i="1" s="1"/>
  <c r="AB18" i="1" s="1"/>
  <c r="AC18" i="1" s="1"/>
  <c r="AD18" i="1" s="1"/>
  <c r="AE18" i="1" s="1"/>
  <c r="AF18" i="1" s="1"/>
  <c r="U18" i="1"/>
  <c r="T18" i="1"/>
  <c r="S18" i="1"/>
  <c r="R18" i="1"/>
  <c r="Q18" i="1"/>
  <c r="P18" i="1"/>
  <c r="O18" i="1"/>
  <c r="N18" i="1"/>
  <c r="D18" i="1"/>
  <c r="E18" i="1" s="1"/>
  <c r="F18" i="1" s="1"/>
  <c r="G18" i="1" s="1"/>
  <c r="H18" i="1" s="1"/>
  <c r="I18" i="1" s="1"/>
  <c r="J18" i="1" s="1"/>
  <c r="AF17" i="1"/>
  <c r="AE17" i="1"/>
  <c r="AD17" i="1"/>
  <c r="AC17" i="1"/>
  <c r="AB17" i="1"/>
  <c r="AA17" i="1"/>
  <c r="Z17" i="1"/>
  <c r="U17" i="1"/>
  <c r="T17" i="1"/>
  <c r="S17" i="1"/>
  <c r="R17" i="1"/>
  <c r="Q17" i="1"/>
  <c r="P17" i="1"/>
  <c r="O17" i="1"/>
  <c r="V17" i="1" s="1"/>
  <c r="N17" i="1"/>
  <c r="J17" i="1"/>
  <c r="I17" i="1"/>
  <c r="H17" i="1"/>
  <c r="G17" i="1"/>
  <c r="F17" i="1"/>
  <c r="E17" i="1"/>
  <c r="D17" i="1"/>
  <c r="B17" i="1"/>
  <c r="U16" i="1"/>
  <c r="T16" i="1"/>
  <c r="S16" i="1"/>
  <c r="R16" i="1"/>
  <c r="Q16" i="1"/>
  <c r="P16" i="1"/>
  <c r="O16" i="1"/>
  <c r="N16" i="1"/>
  <c r="U15" i="1"/>
  <c r="T15" i="1"/>
  <c r="S15" i="1"/>
  <c r="R15" i="1"/>
  <c r="Q15" i="1"/>
  <c r="P15" i="1"/>
  <c r="O15" i="1"/>
  <c r="V15" i="1" s="1"/>
  <c r="N15" i="1"/>
  <c r="J15" i="1"/>
  <c r="I15" i="1"/>
  <c r="H15" i="1"/>
  <c r="H12" i="1" s="1"/>
  <c r="G15" i="1"/>
  <c r="F15" i="1"/>
  <c r="F12" i="1" s="1"/>
  <c r="E15" i="1"/>
  <c r="E12" i="1" s="1"/>
  <c r="D15" i="1"/>
  <c r="D12" i="1" s="1"/>
  <c r="D14" i="1" s="1"/>
  <c r="E11" i="1" s="1"/>
  <c r="E14" i="1" s="1"/>
  <c r="F11" i="1" s="1"/>
  <c r="F14" i="1" s="1"/>
  <c r="G11" i="1" s="1"/>
  <c r="G14" i="1" s="1"/>
  <c r="H11" i="1" s="1"/>
  <c r="H14" i="1" s="1"/>
  <c r="I11" i="1" s="1"/>
  <c r="I14" i="1" s="1"/>
  <c r="J11" i="1" s="1"/>
  <c r="J14" i="1" s="1"/>
  <c r="Z11" i="1" s="1"/>
  <c r="Z14" i="1" s="1"/>
  <c r="AA11" i="1" s="1"/>
  <c r="AA14" i="1" s="1"/>
  <c r="AB11" i="1" s="1"/>
  <c r="AB14" i="1" s="1"/>
  <c r="AC11" i="1" s="1"/>
  <c r="AC14" i="1" s="1"/>
  <c r="AD11" i="1" s="1"/>
  <c r="AD14" i="1" s="1"/>
  <c r="AE11" i="1" s="1"/>
  <c r="AE14" i="1" s="1"/>
  <c r="AF11" i="1" s="1"/>
  <c r="AF14" i="1" s="1"/>
  <c r="Y14" i="1"/>
  <c r="V14" i="1"/>
  <c r="N14" i="1"/>
  <c r="B14" i="1"/>
  <c r="Y13" i="1"/>
  <c r="U13" i="1"/>
  <c r="T13" i="1"/>
  <c r="S13" i="1"/>
  <c r="R13" i="1"/>
  <c r="Q13" i="1"/>
  <c r="P13" i="1"/>
  <c r="O13" i="1"/>
  <c r="N13" i="1"/>
  <c r="B13" i="1"/>
  <c r="AF12" i="1"/>
  <c r="AE12" i="1"/>
  <c r="AD12" i="1"/>
  <c r="AC12" i="1"/>
  <c r="AB12" i="1"/>
  <c r="AA12" i="1"/>
  <c r="Z12" i="1"/>
  <c r="U12" i="1"/>
  <c r="T12" i="1"/>
  <c r="S12" i="1"/>
  <c r="R12" i="1"/>
  <c r="Q12" i="1"/>
  <c r="P12" i="1"/>
  <c r="O12" i="1"/>
  <c r="N12" i="1"/>
  <c r="J12" i="1"/>
  <c r="I12" i="1"/>
  <c r="G12" i="1"/>
  <c r="B12" i="1"/>
  <c r="Y11" i="1"/>
  <c r="U11" i="1"/>
  <c r="T11" i="1"/>
  <c r="S11" i="1"/>
  <c r="R11" i="1"/>
  <c r="Q11" i="1"/>
  <c r="P11" i="1"/>
  <c r="O11" i="1"/>
  <c r="N11" i="1"/>
  <c r="D11" i="1"/>
  <c r="Y10" i="1"/>
  <c r="U10" i="1"/>
  <c r="T10" i="1"/>
  <c r="S10" i="1"/>
  <c r="R10" i="1"/>
  <c r="Q10" i="1"/>
  <c r="P10" i="1"/>
  <c r="O10" i="1"/>
  <c r="N10" i="1"/>
  <c r="J10" i="1"/>
  <c r="I10" i="1"/>
  <c r="H10" i="1"/>
  <c r="H113" i="1" s="1"/>
  <c r="G10" i="1"/>
  <c r="G113" i="1" s="1"/>
  <c r="F10" i="1"/>
  <c r="F103" i="1" s="1"/>
  <c r="E10" i="1"/>
  <c r="E103" i="1" s="1"/>
  <c r="D10" i="1"/>
  <c r="V9" i="1"/>
  <c r="N9" i="1"/>
  <c r="B9" i="1"/>
  <c r="Y8" i="1"/>
  <c r="U8" i="1"/>
  <c r="T8" i="1"/>
  <c r="S8" i="1"/>
  <c r="R8" i="1"/>
  <c r="Q8" i="1"/>
  <c r="P8" i="1"/>
  <c r="O8" i="1"/>
  <c r="O26" i="1" s="1"/>
  <c r="O29" i="1" s="1"/>
  <c r="N8" i="1"/>
  <c r="B8" i="1"/>
  <c r="AF7" i="1"/>
  <c r="AE7" i="1"/>
  <c r="AD7" i="1"/>
  <c r="AC7" i="1"/>
  <c r="AB7" i="1"/>
  <c r="AA7" i="1"/>
  <c r="Z7" i="1"/>
  <c r="V7" i="1"/>
  <c r="N7" i="1"/>
  <c r="J7" i="1"/>
  <c r="H7" i="1"/>
  <c r="G7" i="1"/>
  <c r="F7" i="1"/>
  <c r="D7" i="1"/>
  <c r="B7" i="1"/>
  <c r="Y6" i="1"/>
  <c r="V6" i="1"/>
  <c r="N6" i="1"/>
  <c r="D6" i="1"/>
  <c r="E4" i="1"/>
  <c r="F4" i="1" s="1"/>
  <c r="G4" i="1" s="1"/>
  <c r="H4" i="1" s="1"/>
  <c r="I4" i="1" s="1"/>
  <c r="J4" i="1" s="1"/>
  <c r="Z4" i="1" s="1"/>
  <c r="AA4" i="1" s="1"/>
  <c r="AB4" i="1" s="1"/>
  <c r="AC4" i="1" s="1"/>
  <c r="AD4" i="1" s="1"/>
  <c r="AE4" i="1" s="1"/>
  <c r="AF4" i="1" s="1"/>
  <c r="B1" i="1"/>
  <c r="H39" i="1" l="1"/>
  <c r="I36" i="1" s="1"/>
  <c r="I39" i="1" s="1"/>
  <c r="J36" i="1" s="1"/>
  <c r="J39" i="1" s="1"/>
  <c r="D64" i="1"/>
  <c r="E61" i="1" s="1"/>
  <c r="E64" i="1" s="1"/>
  <c r="F61" i="1" s="1"/>
  <c r="F64" i="1" s="1"/>
  <c r="G61" i="1" s="1"/>
  <c r="G64" i="1" s="1"/>
  <c r="H61" i="1" s="1"/>
  <c r="H64" i="1" s="1"/>
  <c r="I61" i="1" s="1"/>
  <c r="I64" i="1" s="1"/>
  <c r="J61" i="1" s="1"/>
  <c r="J64" i="1" s="1"/>
  <c r="D74" i="1"/>
  <c r="E71" i="1" s="1"/>
  <c r="E74" i="1" s="1"/>
  <c r="F71" i="1" s="1"/>
  <c r="F74" i="1" s="1"/>
  <c r="G71" i="1" s="1"/>
  <c r="G74" i="1" s="1"/>
  <c r="H71" i="1" s="1"/>
  <c r="H74" i="1" s="1"/>
  <c r="I71" i="1" s="1"/>
  <c r="I74" i="1" s="1"/>
  <c r="J71" i="1" s="1"/>
  <c r="J74" i="1" s="1"/>
  <c r="V10" i="1"/>
  <c r="P26" i="1"/>
  <c r="P29" i="1" s="1"/>
  <c r="V11" i="1"/>
  <c r="Q26" i="1"/>
  <c r="Q29" i="1" s="1"/>
  <c r="D49" i="1"/>
  <c r="E46" i="1" s="1"/>
  <c r="D54" i="1"/>
  <c r="E51" i="1" s="1"/>
  <c r="D89" i="1"/>
  <c r="E86" i="1" s="1"/>
  <c r="E89" i="1" s="1"/>
  <c r="F86" i="1" s="1"/>
  <c r="F89" i="1" s="1"/>
  <c r="G86" i="1" s="1"/>
  <c r="G89" i="1" s="1"/>
  <c r="H86" i="1" s="1"/>
  <c r="H89" i="1" s="1"/>
  <c r="I86" i="1" s="1"/>
  <c r="I89" i="1" s="1"/>
  <c r="J86" i="1" s="1"/>
  <c r="J89" i="1" s="1"/>
  <c r="L12" i="1"/>
  <c r="D9" i="1"/>
  <c r="E6" i="1" s="1"/>
  <c r="N27" i="1"/>
  <c r="D34" i="1"/>
  <c r="E31" i="1" s="1"/>
  <c r="L42" i="1"/>
  <c r="Z43" i="1"/>
  <c r="L47" i="1"/>
  <c r="L112" i="1"/>
  <c r="E44" i="1"/>
  <c r="F41" i="1" s="1"/>
  <c r="F44" i="1" s="1"/>
  <c r="G41" i="1" s="1"/>
  <c r="G44" i="1" s="1"/>
  <c r="H41" i="1" s="1"/>
  <c r="H44" i="1" s="1"/>
  <c r="I41" i="1" s="1"/>
  <c r="I44" i="1" s="1"/>
  <c r="J41" i="1" s="1"/>
  <c r="J44" i="1" s="1"/>
  <c r="Z41" i="1" s="1"/>
  <c r="L22" i="1"/>
  <c r="D29" i="1"/>
  <c r="E26" i="1" s="1"/>
  <c r="E29" i="1" s="1"/>
  <c r="F26" i="1" s="1"/>
  <c r="F29" i="1" s="1"/>
  <c r="G26" i="1" s="1"/>
  <c r="G29" i="1" s="1"/>
  <c r="H26" i="1" s="1"/>
  <c r="H29" i="1" s="1"/>
  <c r="I26" i="1" s="1"/>
  <c r="I29" i="1" s="1"/>
  <c r="J26" i="1" s="1"/>
  <c r="L102" i="1"/>
  <c r="L117" i="1"/>
  <c r="J28" i="1"/>
  <c r="J29" i="1" s="1"/>
  <c r="Z26" i="1" s="1"/>
  <c r="Z29" i="1" s="1"/>
  <c r="AA26" i="1" s="1"/>
  <c r="AA29" i="1" s="1"/>
  <c r="AB26" i="1" s="1"/>
  <c r="AB29" i="1" s="1"/>
  <c r="AC26" i="1" s="1"/>
  <c r="AC29" i="1" s="1"/>
  <c r="AD26" i="1" s="1"/>
  <c r="AD29" i="1" s="1"/>
  <c r="AE26" i="1" s="1"/>
  <c r="AE29" i="1" s="1"/>
  <c r="AF26" i="1" s="1"/>
  <c r="AF29" i="1" s="1"/>
  <c r="E59" i="1"/>
  <c r="F56" i="1" s="1"/>
  <c r="F59" i="1" s="1"/>
  <c r="G56" i="1" s="1"/>
  <c r="G59" i="1" s="1"/>
  <c r="H56" i="1" s="1"/>
  <c r="H59" i="1" s="1"/>
  <c r="I56" i="1" s="1"/>
  <c r="I59" i="1" s="1"/>
  <c r="J56" i="1" s="1"/>
  <c r="J59" i="1" s="1"/>
  <c r="E48" i="1"/>
  <c r="F48" i="1" s="1"/>
  <c r="G48" i="1" s="1"/>
  <c r="H48" i="1" s="1"/>
  <c r="I48" i="1" s="1"/>
  <c r="J48" i="1" s="1"/>
  <c r="H53" i="1"/>
  <c r="I53" i="1" s="1"/>
  <c r="J53" i="1" s="1"/>
  <c r="E53" i="1"/>
  <c r="F53" i="1" s="1"/>
  <c r="G53" i="1" s="1"/>
  <c r="F23" i="1"/>
  <c r="G23" i="1" s="1"/>
  <c r="H23" i="1" s="1"/>
  <c r="I23" i="1" s="1"/>
  <c r="J23" i="1" s="1"/>
  <c r="V8" i="1"/>
  <c r="L62" i="1"/>
  <c r="H78" i="1"/>
  <c r="I78" i="1" s="1"/>
  <c r="J78" i="1" s="1"/>
  <c r="J118" i="1"/>
  <c r="J93" i="1"/>
  <c r="J103" i="1"/>
  <c r="J113" i="1"/>
  <c r="Z19" i="1"/>
  <c r="AA16" i="1" s="1"/>
  <c r="AA19" i="1" s="1"/>
  <c r="AB16" i="1" s="1"/>
  <c r="AB19" i="1" s="1"/>
  <c r="AC16" i="1" s="1"/>
  <c r="AC19" i="1" s="1"/>
  <c r="AD16" i="1" s="1"/>
  <c r="AD19" i="1" s="1"/>
  <c r="AE16" i="1" s="1"/>
  <c r="AE19" i="1" s="1"/>
  <c r="AF16" i="1" s="1"/>
  <c r="AF19" i="1" s="1"/>
  <c r="V20" i="1"/>
  <c r="AB23" i="1"/>
  <c r="AA23" i="1"/>
  <c r="L52" i="1"/>
  <c r="L77" i="1"/>
  <c r="E78" i="1"/>
  <c r="F78" i="1" s="1"/>
  <c r="G78" i="1" s="1"/>
  <c r="I108" i="1"/>
  <c r="I118" i="1"/>
  <c r="I93" i="1"/>
  <c r="I103" i="1"/>
  <c r="I113" i="1"/>
  <c r="D19" i="1"/>
  <c r="E16" i="1" s="1"/>
  <c r="E19" i="1" s="1"/>
  <c r="F16" i="1" s="1"/>
  <c r="F19" i="1" s="1"/>
  <c r="G16" i="1" s="1"/>
  <c r="G19" i="1" s="1"/>
  <c r="H16" i="1" s="1"/>
  <c r="H19" i="1" s="1"/>
  <c r="I16" i="1" s="1"/>
  <c r="I19" i="1" s="1"/>
  <c r="J16" i="1" s="1"/>
  <c r="J19" i="1" s="1"/>
  <c r="N26" i="1"/>
  <c r="N28" i="1" s="1"/>
  <c r="I7" i="1"/>
  <c r="D103" i="1"/>
  <c r="D113" i="1"/>
  <c r="D108" i="1"/>
  <c r="Z39" i="1"/>
  <c r="AA36" i="1" s="1"/>
  <c r="AA39" i="1" s="1"/>
  <c r="AB36" i="1" s="1"/>
  <c r="AB39" i="1" s="1"/>
  <c r="AC36" i="1" s="1"/>
  <c r="AC39" i="1" s="1"/>
  <c r="AD36" i="1" s="1"/>
  <c r="AD39" i="1" s="1"/>
  <c r="AE36" i="1" s="1"/>
  <c r="AE39" i="1" s="1"/>
  <c r="AF36" i="1" s="1"/>
  <c r="AF39" i="1" s="1"/>
  <c r="L67" i="1"/>
  <c r="E68" i="1"/>
  <c r="F68" i="1" s="1"/>
  <c r="G68" i="1" s="1"/>
  <c r="H68" i="1" s="1"/>
  <c r="I68" i="1" s="1"/>
  <c r="J68" i="1" s="1"/>
  <c r="B83" i="1"/>
  <c r="D79" i="1"/>
  <c r="E76" i="1" s="1"/>
  <c r="E79" i="1" s="1"/>
  <c r="F76" i="1" s="1"/>
  <c r="F79" i="1" s="1"/>
  <c r="G76" i="1" s="1"/>
  <c r="G79" i="1" s="1"/>
  <c r="H76" i="1" s="1"/>
  <c r="L92" i="1"/>
  <c r="D118" i="1"/>
  <c r="B18" i="1"/>
  <c r="R26" i="1"/>
  <c r="R29" i="1" s="1"/>
  <c r="E113" i="1"/>
  <c r="E108" i="1"/>
  <c r="S26" i="1"/>
  <c r="S29" i="1" s="1"/>
  <c r="F113" i="1"/>
  <c r="F108" i="1"/>
  <c r="F118" i="1"/>
  <c r="V18" i="1"/>
  <c r="V19" i="1"/>
  <c r="B43" i="1"/>
  <c r="L57" i="1"/>
  <c r="E58" i="1"/>
  <c r="F58" i="1" s="1"/>
  <c r="G58" i="1" s="1"/>
  <c r="H58" i="1" s="1"/>
  <c r="I58" i="1" s="1"/>
  <c r="J58" i="1" s="1"/>
  <c r="B73" i="1"/>
  <c r="D93" i="1"/>
  <c r="E118" i="1"/>
  <c r="T26" i="1"/>
  <c r="T29" i="1" s="1"/>
  <c r="G108" i="1"/>
  <c r="G118" i="1"/>
  <c r="G93" i="1"/>
  <c r="G103" i="1"/>
  <c r="V16" i="1"/>
  <c r="E33" i="1"/>
  <c r="F33" i="1" s="1"/>
  <c r="G33" i="1" s="1"/>
  <c r="H33" i="1" s="1"/>
  <c r="I33" i="1" s="1"/>
  <c r="J33" i="1" s="1"/>
  <c r="L72" i="1"/>
  <c r="B88" i="1"/>
  <c r="E93" i="1"/>
  <c r="E7" i="1"/>
  <c r="L7" i="1" s="1"/>
  <c r="U26" i="1"/>
  <c r="U29" i="1" s="1"/>
  <c r="H108" i="1"/>
  <c r="H118" i="1"/>
  <c r="H93" i="1"/>
  <c r="H103" i="1"/>
  <c r="V12" i="1"/>
  <c r="V13" i="1"/>
  <c r="L32" i="1"/>
  <c r="B63" i="1"/>
  <c r="D84" i="1"/>
  <c r="E81" i="1" s="1"/>
  <c r="E84" i="1" s="1"/>
  <c r="F81" i="1" s="1"/>
  <c r="F84" i="1" s="1"/>
  <c r="G81" i="1" s="1"/>
  <c r="G84" i="1" s="1"/>
  <c r="H81" i="1" s="1"/>
  <c r="H84" i="1" s="1"/>
  <c r="I81" i="1" s="1"/>
  <c r="I84" i="1" s="1"/>
  <c r="J81" i="1" s="1"/>
  <c r="J84" i="1" s="1"/>
  <c r="L87" i="1"/>
  <c r="F93" i="1"/>
  <c r="J108" i="1"/>
  <c r="L17" i="1"/>
  <c r="Z44" i="1" l="1"/>
  <c r="AA41" i="1" s="1"/>
  <c r="AA44" i="1" s="1"/>
  <c r="AB41" i="1" s="1"/>
  <c r="AB44" i="1" s="1"/>
  <c r="AC41" i="1" s="1"/>
  <c r="AC44" i="1" s="1"/>
  <c r="AD41" i="1" s="1"/>
  <c r="AD44" i="1" s="1"/>
  <c r="AE41" i="1" s="1"/>
  <c r="AE44" i="1" s="1"/>
  <c r="AF41" i="1" s="1"/>
  <c r="AF44" i="1" s="1"/>
  <c r="B78" i="1"/>
  <c r="E69" i="1"/>
  <c r="F66" i="1" s="1"/>
  <c r="F69" i="1" s="1"/>
  <c r="G66" i="1" s="1"/>
  <c r="G69" i="1" s="1"/>
  <c r="H66" i="1" s="1"/>
  <c r="H69" i="1" s="1"/>
  <c r="I66" i="1" s="1"/>
  <c r="I69" i="1" s="1"/>
  <c r="J66" i="1" s="1"/>
  <c r="J69" i="1" s="1"/>
  <c r="H79" i="1"/>
  <c r="I76" i="1" s="1"/>
  <c r="I79" i="1" s="1"/>
  <c r="J76" i="1" s="1"/>
  <c r="J79" i="1" s="1"/>
  <c r="B28" i="1"/>
  <c r="B33" i="1"/>
  <c r="B48" i="1"/>
  <c r="B53" i="1"/>
  <c r="B113" i="1"/>
  <c r="V27" i="1"/>
  <c r="E9" i="1"/>
  <c r="F6" i="1" s="1"/>
  <c r="F9" i="1" s="1"/>
  <c r="G6" i="1" s="1"/>
  <c r="G9" i="1" s="1"/>
  <c r="H6" i="1" s="1"/>
  <c r="H9" i="1" s="1"/>
  <c r="I6" i="1" s="1"/>
  <c r="I9" i="1" s="1"/>
  <c r="J6" i="1" s="1"/>
  <c r="J9" i="1" s="1"/>
  <c r="Z6" i="1" s="1"/>
  <c r="Z9" i="1" s="1"/>
  <c r="AA6" i="1" s="1"/>
  <c r="AA9" i="1" s="1"/>
  <c r="AB6" i="1" s="1"/>
  <c r="AB9" i="1" s="1"/>
  <c r="AC6" i="1" s="1"/>
  <c r="AC9" i="1" s="1"/>
  <c r="AD6" i="1" s="1"/>
  <c r="AD9" i="1" s="1"/>
  <c r="AE6" i="1" s="1"/>
  <c r="AE9" i="1" s="1"/>
  <c r="AF6" i="1" s="1"/>
  <c r="AF9" i="1" s="1"/>
  <c r="B118" i="1"/>
  <c r="D119" i="1"/>
  <c r="E116" i="1" s="1"/>
  <c r="E119" i="1" s="1"/>
  <c r="F116" i="1" s="1"/>
  <c r="F119" i="1" s="1"/>
  <c r="G116" i="1" s="1"/>
  <c r="G119" i="1" s="1"/>
  <c r="H116" i="1" s="1"/>
  <c r="H119" i="1" s="1"/>
  <c r="I116" i="1" s="1"/>
  <c r="I119" i="1" s="1"/>
  <c r="J116" i="1" s="1"/>
  <c r="J119" i="1" s="1"/>
  <c r="V26" i="1"/>
  <c r="E54" i="1"/>
  <c r="F51" i="1" s="1"/>
  <c r="F54" i="1" s="1"/>
  <c r="G51" i="1" s="1"/>
  <c r="G54" i="1" s="1"/>
  <c r="H51" i="1" s="1"/>
  <c r="H54" i="1" s="1"/>
  <c r="I51" i="1" s="1"/>
  <c r="I54" i="1" s="1"/>
  <c r="J51" i="1" s="1"/>
  <c r="J54" i="1" s="1"/>
  <c r="D109" i="1"/>
  <c r="E106" i="1" s="1"/>
  <c r="E109" i="1" s="1"/>
  <c r="F106" i="1" s="1"/>
  <c r="F109" i="1" s="1"/>
  <c r="G106" i="1" s="1"/>
  <c r="G109" i="1" s="1"/>
  <c r="H106" i="1" s="1"/>
  <c r="H109" i="1" s="1"/>
  <c r="I106" i="1" s="1"/>
  <c r="I109" i="1" s="1"/>
  <c r="J106" i="1" s="1"/>
  <c r="J109" i="1" s="1"/>
  <c r="B108" i="1"/>
  <c r="B103" i="1"/>
  <c r="D104" i="1"/>
  <c r="E101" i="1" s="1"/>
  <c r="E104" i="1" s="1"/>
  <c r="F101" i="1" s="1"/>
  <c r="F104" i="1" s="1"/>
  <c r="G101" i="1" s="1"/>
  <c r="G104" i="1" s="1"/>
  <c r="H101" i="1" s="1"/>
  <c r="H104" i="1" s="1"/>
  <c r="I101" i="1" s="1"/>
  <c r="I104" i="1" s="1"/>
  <c r="J101" i="1" s="1"/>
  <c r="J104" i="1" s="1"/>
  <c r="B68" i="1"/>
  <c r="B58" i="1"/>
  <c r="E34" i="1"/>
  <c r="F31" i="1" s="1"/>
  <c r="F34" i="1" s="1"/>
  <c r="G31" i="1" s="1"/>
  <c r="G34" i="1" s="1"/>
  <c r="H31" i="1" s="1"/>
  <c r="H34" i="1" s="1"/>
  <c r="I31" i="1" s="1"/>
  <c r="I34" i="1" s="1"/>
  <c r="J31" i="1" s="1"/>
  <c r="J34" i="1" s="1"/>
  <c r="Z31" i="1" s="1"/>
  <c r="Z34" i="1" s="1"/>
  <c r="AA31" i="1" s="1"/>
  <c r="AA34" i="1" s="1"/>
  <c r="AB31" i="1" s="1"/>
  <c r="AB34" i="1" s="1"/>
  <c r="AC31" i="1" s="1"/>
  <c r="AC34" i="1" s="1"/>
  <c r="AD31" i="1" s="1"/>
  <c r="AD34" i="1" s="1"/>
  <c r="AE31" i="1" s="1"/>
  <c r="AE34" i="1" s="1"/>
  <c r="AF31" i="1" s="1"/>
  <c r="AF34" i="1" s="1"/>
  <c r="E49" i="1"/>
  <c r="F46" i="1" s="1"/>
  <c r="F49" i="1" s="1"/>
  <c r="G46" i="1" s="1"/>
  <c r="G49" i="1" s="1"/>
  <c r="H46" i="1" s="1"/>
  <c r="H49" i="1" s="1"/>
  <c r="I46" i="1" s="1"/>
  <c r="I49" i="1" s="1"/>
  <c r="J46" i="1" s="1"/>
  <c r="J49" i="1" s="1"/>
  <c r="B93" i="1"/>
  <c r="D94" i="1"/>
  <c r="E91" i="1" s="1"/>
  <c r="E94" i="1" s="1"/>
  <c r="F91" i="1" s="1"/>
  <c r="F94" i="1" s="1"/>
  <c r="G91" i="1" s="1"/>
  <c r="G94" i="1" s="1"/>
  <c r="H91" i="1" s="1"/>
  <c r="H94" i="1" s="1"/>
  <c r="I91" i="1" s="1"/>
  <c r="I94" i="1" s="1"/>
  <c r="J91" i="1" s="1"/>
  <c r="J94" i="1" s="1"/>
  <c r="D114" i="1"/>
  <c r="E111" i="1" s="1"/>
  <c r="E114" i="1" s="1"/>
  <c r="F111" i="1" s="1"/>
  <c r="F114" i="1" s="1"/>
  <c r="G111" i="1" s="1"/>
  <c r="G114" i="1" s="1"/>
  <c r="H111" i="1" s="1"/>
  <c r="H114" i="1" s="1"/>
  <c r="I111" i="1" s="1"/>
  <c r="I114" i="1" s="1"/>
  <c r="J111" i="1" s="1"/>
  <c r="J114" i="1" s="1"/>
  <c r="B23" i="1"/>
  <c r="F24" i="1"/>
  <c r="G21" i="1" s="1"/>
  <c r="G24" i="1" s="1"/>
  <c r="H21" i="1" s="1"/>
  <c r="H24" i="1" s="1"/>
  <c r="I21" i="1" s="1"/>
  <c r="I24" i="1" s="1"/>
  <c r="J21" i="1" s="1"/>
  <c r="J24" i="1" s="1"/>
  <c r="Z21" i="1" s="1"/>
  <c r="Z24" i="1" s="1"/>
  <c r="AA21" i="1" s="1"/>
  <c r="AA24" i="1" s="1"/>
  <c r="AB21" i="1" s="1"/>
  <c r="AB24" i="1" s="1"/>
  <c r="AC21" i="1" s="1"/>
  <c r="AC24" i="1" s="1"/>
  <c r="AD21" i="1" s="1"/>
  <c r="AD24" i="1" s="1"/>
  <c r="AE21" i="1" s="1"/>
  <c r="AE24" i="1" s="1"/>
  <c r="AF21" i="1" s="1"/>
  <c r="AF24" i="1" s="1"/>
</calcChain>
</file>

<file path=xl/sharedStrings.xml><?xml version="1.0" encoding="utf-8"?>
<sst xmlns="http://schemas.openxmlformats.org/spreadsheetml/2006/main" count="198" uniqueCount="67">
  <si>
    <t>Blend</t>
  </si>
  <si>
    <t>Wk</t>
  </si>
  <si>
    <t>MON</t>
  </si>
  <si>
    <t>TUE</t>
  </si>
  <si>
    <t>WED</t>
  </si>
  <si>
    <t>THU</t>
  </si>
  <si>
    <t>FRI</t>
  </si>
  <si>
    <t>SAT</t>
  </si>
  <si>
    <t>SUN</t>
  </si>
  <si>
    <t>ton</t>
  </si>
  <si>
    <t>BLEND</t>
  </si>
  <si>
    <t>Mo</t>
  </si>
  <si>
    <t>Tu</t>
  </si>
  <si>
    <t>We</t>
  </si>
  <si>
    <t>Th</t>
  </si>
  <si>
    <t>Fr</t>
  </si>
  <si>
    <t>Sa</t>
  </si>
  <si>
    <t>Su</t>
  </si>
  <si>
    <t>Tot</t>
  </si>
  <si>
    <t>D0A1VC</t>
  </si>
  <si>
    <t>Stock awal</t>
  </si>
  <si>
    <t>Output PP (WPP)</t>
  </si>
  <si>
    <t>V0N5PC</t>
  </si>
  <si>
    <t>Order dr secondary</t>
  </si>
  <si>
    <t>D0A1S</t>
  </si>
  <si>
    <t>Req</t>
  </si>
  <si>
    <t>Stock akhir</t>
  </si>
  <si>
    <t>D0A1S P</t>
  </si>
  <si>
    <t>Process (OPS)</t>
  </si>
  <si>
    <t>V0CHB</t>
  </si>
  <si>
    <t>Ops</t>
  </si>
  <si>
    <t>V0CHA</t>
  </si>
  <si>
    <t>D0A1KC</t>
  </si>
  <si>
    <t>V0CGI</t>
  </si>
  <si>
    <t>V0P2RC</t>
  </si>
  <si>
    <t>V0N9K</t>
  </si>
  <si>
    <t>D0A1S (Pack)</t>
  </si>
  <si>
    <t>V0M1I</t>
  </si>
  <si>
    <t>V0CBB</t>
  </si>
  <si>
    <t>Order dr secondary (plan-actual)</t>
  </si>
  <si>
    <t>V0N4Y</t>
  </si>
  <si>
    <t>x`</t>
  </si>
  <si>
    <t>V0CRT</t>
  </si>
  <si>
    <t>V0F0S</t>
  </si>
  <si>
    <t>V0CHAC</t>
  </si>
  <si>
    <t>V0J5CC</t>
  </si>
  <si>
    <t>V0P7R</t>
  </si>
  <si>
    <t>V0P2R</t>
  </si>
  <si>
    <t>TRIAL</t>
  </si>
  <si>
    <t>Total</t>
  </si>
  <si>
    <t>Actual kirim to Sec.</t>
  </si>
  <si>
    <t>Penerimaan dari PP</t>
  </si>
  <si>
    <t>SE057</t>
  </si>
  <si>
    <t>Pemakaian di CF</t>
  </si>
  <si>
    <t>SE057C</t>
  </si>
  <si>
    <t>AA06M</t>
  </si>
  <si>
    <t>AA06VC</t>
  </si>
  <si>
    <t>AA28D</t>
  </si>
  <si>
    <t>AA36E</t>
  </si>
  <si>
    <t>AA38YC</t>
  </si>
  <si>
    <t>AA074</t>
  </si>
  <si>
    <t>AA11IC</t>
  </si>
  <si>
    <t>AA18C</t>
  </si>
  <si>
    <t>AA30T</t>
  </si>
  <si>
    <t>AA32J</t>
  </si>
  <si>
    <t>AA38E</t>
  </si>
  <si>
    <t>Vol per Ops ('000 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</si>
</sst>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_-* #,##0.0_-;\-* #,##0.0_-;_-* &quot;-&quot;??_-;_-@_-"/>
    <numFmt numFmtId="166" formatCode="00"/>
    <numFmt numFmtId="167" formatCode="dd/mm"/>
    <numFmt numFmtId="168" formatCode="_(* #,##0_);_(* \(#,##0\);_(* &quot;-&quot;??_);_(@_)"/>
    <numFmt numFmtId="169" formatCode="00\ \O\P"/>
    <numFmt numFmtId="170" formatCode="&quot;Req&quot;\ 0\ &quot;KG&quot;"/>
    <numFmt numFmtId="171" formatCode="_-* #,##0_-;\-* #,##0_-;_-* &quot;-&quot;??_-;_-@_-"/>
  </numFmts>
  <fonts count="2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1"/>
      <name val="Arial"/>
      <family val="2"/>
    </font>
    <font>
      <b/>
      <sz val="1"/>
      <name val="Arial"/>
      <family val="2"/>
    </font>
    <font>
      <b/>
      <sz val="1"/>
      <color indexed="10"/>
      <name val="Arial"/>
      <family val="2"/>
    </font>
    <font>
      <sz val="1"/>
      <color indexed="10"/>
      <name val="Arial"/>
      <family val="2"/>
    </font>
    <font>
      <b/>
      <sz val="10"/>
      <color rgb="FF0000FF"/>
      <name val="Arial"/>
      <family val="2"/>
    </font>
    <font>
      <b/>
      <sz val="10"/>
      <color indexed="9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sz val="10"/>
      <color indexed="12"/>
      <name val="Arial"/>
      <family val="2"/>
    </font>
    <font>
      <sz val="10"/>
      <color theme="0"/>
      <name val="Arial"/>
      <family val="2"/>
    </font>
    <font>
      <sz val="10"/>
      <color theme="0" tint="-0.499984740745262"/>
      <name val="Arial"/>
      <family val="2"/>
    </font>
    <font>
      <b/>
      <sz val="10"/>
      <color theme="0"/>
      <name val="Arial"/>
      <family val="2"/>
    </font>
    <font>
      <b/>
      <sz val="10"/>
      <color indexed="12"/>
      <name val="Arial"/>
      <family val="2"/>
    </font>
    <font>
      <sz val="9"/>
      <name val="Arial"/>
      <family val="2"/>
    </font>
    <font>
      <sz val="10"/>
      <color rgb="FF0000FF"/>
      <name val="Arial"/>
      <family val="2"/>
    </font>
    <font>
      <sz val="1"/>
      <color theme="0"/>
      <name val="Arial"/>
      <family val="2"/>
    </font>
    <font>
      <b/>
      <sz val="1"/>
      <color indexed="12"/>
      <name val="Arial"/>
      <family val="2"/>
    </font>
    <font>
      <b/>
      <sz val="6"/>
      <color indexed="55"/>
      <name val="Arial"/>
      <family val="2"/>
    </font>
    <font>
      <sz val="1"/>
      <color indexed="12"/>
      <name val="Arial"/>
      <family val="2"/>
    </font>
    <font>
      <sz val="1"/>
      <color indexed="55"/>
      <name val="Arial"/>
      <family val="2"/>
    </font>
    <font>
      <sz val="10"/>
      <color indexed="55"/>
      <name val="Arial"/>
      <family val="2"/>
    </font>
    <font>
      <sz val="8"/>
      <color indexed="9"/>
      <name val="Arial"/>
      <family val="2"/>
    </font>
    <font>
      <sz val="10"/>
      <color indexed="22"/>
      <name val="Arial"/>
      <family val="2"/>
    </font>
    <font>
      <b/>
      <sz val="9"/>
      <color rgb="FF0000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2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quotePrefix="1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1" fontId="1" fillId="2" borderId="0" xfId="0" applyNumberFormat="1" applyFont="1" applyFill="1" applyAlignment="1">
      <alignment horizontal="center" vertical="center"/>
    </xf>
    <xf numFmtId="165" fontId="2" fillId="0" borderId="0" xfId="3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5" fontId="6" fillId="0" borderId="0" xfId="3" applyNumberFormat="1" applyFont="1" applyAlignment="1">
      <alignment vertical="center"/>
    </xf>
    <xf numFmtId="166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vertical="center"/>
    </xf>
    <xf numFmtId="167" fontId="9" fillId="2" borderId="3" xfId="0" quotePrefix="1" applyNumberFormat="1" applyFont="1" applyFill="1" applyBorder="1" applyAlignment="1">
      <alignment horizontal="center" vertical="center"/>
    </xf>
    <xf numFmtId="167" fontId="2" fillId="2" borderId="3" xfId="0" quotePrefix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quotePrefix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0" fillId="3" borderId="1" xfId="0" quotePrefix="1" applyFont="1" applyFill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4" fontId="2" fillId="4" borderId="2" xfId="0" applyNumberFormat="1" applyFont="1" applyFill="1" applyBorder="1" applyAlignment="1">
      <alignment vertical="center"/>
    </xf>
    <xf numFmtId="4" fontId="2" fillId="0" borderId="2" xfId="0" applyNumberFormat="1" applyFont="1" applyBorder="1" applyAlignment="1">
      <alignment vertical="center"/>
    </xf>
    <xf numFmtId="0" fontId="1" fillId="5" borderId="6" xfId="0" quotePrefix="1" applyFont="1" applyFill="1" applyBorder="1" applyAlignment="1">
      <alignment horizontal="left" vertical="center"/>
    </xf>
    <xf numFmtId="168" fontId="9" fillId="5" borderId="6" xfId="1" quotePrefix="1" applyNumberFormat="1" applyFont="1" applyFill="1" applyBorder="1" applyAlignment="1">
      <alignment vertical="center"/>
    </xf>
    <xf numFmtId="168" fontId="11" fillId="5" borderId="6" xfId="1" applyNumberFormat="1" applyFont="1" applyFill="1" applyBorder="1" applyAlignment="1">
      <alignment vertical="center"/>
    </xf>
    <xf numFmtId="168" fontId="12" fillId="5" borderId="6" xfId="1" applyNumberFormat="1" applyFont="1" applyFill="1" applyBorder="1" applyAlignment="1">
      <alignment vertical="center"/>
    </xf>
    <xf numFmtId="169" fontId="1" fillId="0" borderId="3" xfId="0" applyNumberFormat="1" applyFont="1" applyBorder="1" applyAlignment="1">
      <alignment vertical="center"/>
    </xf>
    <xf numFmtId="0" fontId="1" fillId="6" borderId="7" xfId="0" quotePrefix="1" applyFont="1" applyFill="1" applyBorder="1" applyAlignment="1">
      <alignment horizontal="left" vertical="center"/>
    </xf>
    <xf numFmtId="4" fontId="13" fillId="6" borderId="7" xfId="0" applyNumberFormat="1" applyFont="1" applyFill="1" applyBorder="1" applyAlignment="1">
      <alignment vertical="center"/>
    </xf>
    <xf numFmtId="164" fontId="10" fillId="7" borderId="0" xfId="3" applyNumberFormat="1" applyFont="1" applyFill="1" applyAlignment="1">
      <alignment vertical="center"/>
    </xf>
    <xf numFmtId="168" fontId="9" fillId="5" borderId="6" xfId="1" applyNumberFormat="1" applyFont="1" applyFill="1" applyBorder="1" applyAlignment="1">
      <alignment vertical="center"/>
    </xf>
    <xf numFmtId="4" fontId="1" fillId="0" borderId="3" xfId="0" applyNumberFormat="1" applyFont="1" applyBorder="1" applyAlignment="1">
      <alignment vertical="center"/>
    </xf>
    <xf numFmtId="0" fontId="4" fillId="8" borderId="7" xfId="0" quotePrefix="1" applyFont="1" applyFill="1" applyBorder="1" applyAlignment="1">
      <alignment horizontal="left" vertical="center"/>
    </xf>
    <xf numFmtId="4" fontId="3" fillId="8" borderId="7" xfId="0" applyNumberFormat="1" applyFont="1" applyFill="1" applyBorder="1" applyAlignment="1">
      <alignment vertical="center"/>
    </xf>
    <xf numFmtId="164" fontId="3" fillId="0" borderId="0" xfId="3" applyNumberFormat="1" applyFont="1" applyAlignment="1">
      <alignment vertical="center"/>
    </xf>
    <xf numFmtId="168" fontId="1" fillId="5" borderId="6" xfId="1" applyNumberFormat="1" applyFont="1" applyFill="1" applyBorder="1" applyAlignment="1">
      <alignment vertical="center"/>
    </xf>
    <xf numFmtId="3" fontId="4" fillId="0" borderId="0" xfId="0" applyNumberFormat="1" applyFont="1" applyAlignment="1">
      <alignment vertical="center"/>
    </xf>
    <xf numFmtId="170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4" fontId="2" fillId="0" borderId="5" xfId="0" applyNumberFormat="1" applyFont="1" applyBorder="1" applyAlignment="1">
      <alignment vertical="center"/>
    </xf>
    <xf numFmtId="4" fontId="2" fillId="0" borderId="5" xfId="0" applyNumberFormat="1" applyFont="1" applyFill="1" applyBorder="1" applyAlignment="1">
      <alignment vertical="center"/>
    </xf>
    <xf numFmtId="164" fontId="2" fillId="0" borderId="0" xfId="3" applyNumberFormat="1" applyFont="1" applyAlignment="1">
      <alignment vertical="center"/>
    </xf>
    <xf numFmtId="0" fontId="14" fillId="0" borderId="0" xfId="0" applyFont="1" applyAlignment="1">
      <alignment vertical="center"/>
    </xf>
    <xf numFmtId="1" fontId="14" fillId="9" borderId="0" xfId="0" applyNumberFormat="1" applyFont="1" applyFill="1" applyAlignment="1">
      <alignment vertical="center"/>
    </xf>
    <xf numFmtId="1" fontId="1" fillId="9" borderId="0" xfId="0" applyNumberFormat="1" applyFont="1" applyFill="1" applyAlignment="1">
      <alignment vertical="center"/>
    </xf>
    <xf numFmtId="1" fontId="15" fillId="9" borderId="0" xfId="0" applyNumberFormat="1" applyFont="1" applyFill="1" applyAlignment="1">
      <alignment vertical="center"/>
    </xf>
    <xf numFmtId="1" fontId="16" fillId="0" borderId="0" xfId="3" applyNumberFormat="1" applyFont="1" applyAlignment="1">
      <alignment vertical="center"/>
    </xf>
    <xf numFmtId="1" fontId="16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171" fontId="2" fillId="0" borderId="0" xfId="3" applyNumberFormat="1" applyFont="1" applyAlignment="1">
      <alignment vertical="center"/>
    </xf>
    <xf numFmtId="1" fontId="1" fillId="5" borderId="6" xfId="0" quotePrefix="1" applyNumberFormat="1" applyFont="1" applyFill="1" applyBorder="1" applyAlignment="1">
      <alignment horizontal="left" vertical="center"/>
    </xf>
    <xf numFmtId="4" fontId="12" fillId="4" borderId="2" xfId="0" applyNumberFormat="1" applyFont="1" applyFill="1" applyBorder="1" applyAlignment="1">
      <alignment vertical="center"/>
    </xf>
    <xf numFmtId="1" fontId="1" fillId="5" borderId="6" xfId="0" applyNumberFormat="1" applyFont="1" applyFill="1" applyBorder="1" applyAlignment="1">
      <alignment horizontal="left" vertical="center"/>
    </xf>
    <xf numFmtId="0" fontId="14" fillId="0" borderId="4" xfId="0" applyFont="1" applyBorder="1" applyAlignment="1">
      <alignment vertical="center"/>
    </xf>
    <xf numFmtId="1" fontId="14" fillId="0" borderId="0" xfId="0" applyNumberFormat="1" applyFont="1" applyAlignment="1">
      <alignment vertical="center"/>
    </xf>
    <xf numFmtId="1" fontId="15" fillId="0" borderId="0" xfId="0" applyNumberFormat="1" applyFont="1" applyAlignment="1">
      <alignment vertical="center"/>
    </xf>
    <xf numFmtId="1" fontId="17" fillId="0" borderId="0" xfId="0" applyNumberFormat="1" applyFont="1" applyAlignment="1">
      <alignment vertical="center"/>
    </xf>
    <xf numFmtId="168" fontId="2" fillId="5" borderId="6" xfId="1" applyNumberFormat="1" applyFont="1" applyFill="1" applyBorder="1" applyAlignment="1">
      <alignment vertical="center"/>
    </xf>
    <xf numFmtId="4" fontId="17" fillId="4" borderId="2" xfId="0" applyNumberFormat="1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168" fontId="2" fillId="0" borderId="6" xfId="1" applyNumberFormat="1" applyFont="1" applyBorder="1" applyAlignment="1">
      <alignment vertical="center"/>
    </xf>
    <xf numFmtId="168" fontId="1" fillId="0" borderId="0" xfId="0" applyNumberFormat="1" applyFont="1" applyAlignment="1">
      <alignment vertical="center"/>
    </xf>
    <xf numFmtId="168" fontId="13" fillId="0" borderId="0" xfId="1" applyNumberFormat="1" applyFont="1" applyAlignment="1">
      <alignment vertical="center"/>
    </xf>
    <xf numFmtId="1" fontId="13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4" fontId="2" fillId="10" borderId="2" xfId="0" applyNumberFormat="1" applyFont="1" applyFill="1" applyBorder="1" applyAlignment="1">
      <alignment vertical="center"/>
    </xf>
    <xf numFmtId="4" fontId="4" fillId="0" borderId="3" xfId="0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0" fillId="3" borderId="1" xfId="0" applyFont="1" applyFill="1" applyBorder="1" applyAlignment="1">
      <alignment horizontal="left" vertical="center"/>
    </xf>
    <xf numFmtId="1" fontId="17" fillId="0" borderId="0" xfId="3" applyNumberFormat="1" applyFont="1" applyAlignment="1">
      <alignment vertical="center"/>
    </xf>
    <xf numFmtId="0" fontId="20" fillId="0" borderId="0" xfId="0" applyFont="1" applyAlignment="1">
      <alignment vertical="center"/>
    </xf>
    <xf numFmtId="2" fontId="17" fillId="0" borderId="0" xfId="0" applyNumberFormat="1" applyFont="1" applyAlignment="1">
      <alignment vertical="center"/>
    </xf>
    <xf numFmtId="0" fontId="1" fillId="0" borderId="6" xfId="0" applyFont="1" applyBorder="1" applyAlignment="1">
      <alignment vertical="center"/>
    </xf>
    <xf numFmtId="3" fontId="3" fillId="0" borderId="6" xfId="0" applyNumberFormat="1" applyFont="1" applyBorder="1" applyAlignment="1">
      <alignment vertical="center"/>
    </xf>
    <xf numFmtId="1" fontId="13" fillId="5" borderId="6" xfId="0" applyNumberFormat="1" applyFont="1" applyFill="1" applyBorder="1" applyAlignment="1">
      <alignment vertical="center"/>
    </xf>
    <xf numFmtId="1" fontId="3" fillId="0" borderId="6" xfId="1" applyNumberFormat="1" applyFont="1" applyBorder="1" applyAlignment="1">
      <alignment vertical="center"/>
    </xf>
    <xf numFmtId="165" fontId="3" fillId="0" borderId="0" xfId="3" applyNumberFormat="1" applyFont="1" applyAlignment="1">
      <alignment vertical="center"/>
    </xf>
    <xf numFmtId="0" fontId="1" fillId="0" borderId="6" xfId="0" quotePrefix="1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21" fillId="0" borderId="0" xfId="0" applyFont="1" applyAlignment="1">
      <alignment vertical="center"/>
    </xf>
    <xf numFmtId="4" fontId="21" fillId="0" borderId="0" xfId="0" applyNumberFormat="1" applyFont="1" applyAlignment="1">
      <alignment vertical="center"/>
    </xf>
    <xf numFmtId="164" fontId="21" fillId="0" borderId="0" xfId="3" applyNumberFormat="1" applyFont="1" applyAlignment="1">
      <alignment vertical="center"/>
    </xf>
    <xf numFmtId="166" fontId="21" fillId="0" borderId="0" xfId="0" applyNumberFormat="1" applyFont="1" applyAlignment="1">
      <alignment vertical="center"/>
    </xf>
    <xf numFmtId="1" fontId="22" fillId="0" borderId="0" xfId="0" applyNumberFormat="1" applyFont="1" applyAlignment="1">
      <alignment vertical="center"/>
    </xf>
    <xf numFmtId="1" fontId="21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" fontId="23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4" fontId="12" fillId="8" borderId="7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3" fontId="3" fillId="0" borderId="6" xfId="0" quotePrefix="1" applyNumberFormat="1" applyFont="1" applyBorder="1" applyAlignment="1">
      <alignment horizontal="right" vertical="center"/>
    </xf>
    <xf numFmtId="0" fontId="25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" fillId="0" borderId="0" xfId="0" quotePrefix="1" applyFont="1" applyAlignment="1">
      <alignment vertical="center"/>
    </xf>
    <xf numFmtId="0" fontId="26" fillId="0" borderId="0" xfId="0" applyFont="1" applyAlignment="1">
      <alignment horizontal="right" vertical="center"/>
    </xf>
    <xf numFmtId="9" fontId="26" fillId="0" borderId="0" xfId="2" applyFont="1" applyBorder="1" applyAlignment="1">
      <alignment vertical="center"/>
    </xf>
    <xf numFmtId="9" fontId="26" fillId="0" borderId="0" xfId="0" applyNumberFormat="1" applyFont="1" applyAlignment="1">
      <alignment vertical="center"/>
    </xf>
    <xf numFmtId="0" fontId="27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 vertical="center"/>
    </xf>
    <xf numFmtId="0" fontId="2" fillId="2" borderId="4" xfId="0" quotePrefix="1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</cellXfs>
  <cellStyles count="4">
    <cellStyle name="Comma" xfId="1" builtinId="3"/>
    <cellStyle name="Comma_SIMULASI" xfId="3" xr:uid="{00000000-0005-0000-0000-000001000000}"/>
    <cellStyle name="Normal" xfId="0" builtinId="0"/>
    <cellStyle name="Percent" xfId="2" builtinId="5"/>
  </cellStyles>
  <dxfs count="84"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rk1fs\Department\Documents%20and%20Settings\Yprobori\My%20Documents\Yulianti\At%20work\To%20SKTIS\TO_SKTIS_20'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iidpazfnp01.sampoerna.com\nrosidah$\Documents%20and%20Settings\Bekti.Widayat\Local%20Settings\Temporary%20Internet%20Files\OLK68\Ord-Raj10200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micloud-my.sharepoint.com/personal/rtama_pmintl_net/Documents/Documents/My%20Received%20Files/Excel%20File%20dekstop/2020_04/WPP04-2020_estimasi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daily SKM_ATB"/>
      <sheetName val="daily OMPP"/>
      <sheetName val="DAILY"/>
      <sheetName val="Sheet1"/>
      <sheetName val="WPP"/>
      <sheetName val="PRODPLAN"/>
    </sheetNames>
    <sheetDataSet>
      <sheetData sheetId="0" refreshError="1">
        <row r="1">
          <cell r="D1" t="str">
            <v>KODE</v>
          </cell>
          <cell r="E1" t="str">
            <v>BRAND</v>
          </cell>
        </row>
        <row r="2">
          <cell r="D2" t="str">
            <v>FG-AAG12</v>
          </cell>
          <cell r="E2" t="str">
            <v>SAH-12</v>
          </cell>
        </row>
        <row r="3">
          <cell r="D3" t="str">
            <v>FG-AGS12</v>
          </cell>
          <cell r="E3" t="str">
            <v>SHS-12</v>
          </cell>
        </row>
        <row r="4">
          <cell r="D4" t="str">
            <v xml:space="preserve">FG-DSPS </v>
          </cell>
          <cell r="E4" t="str">
            <v>DPS-12</v>
          </cell>
        </row>
        <row r="5">
          <cell r="D5" t="str">
            <v xml:space="preserve">FG-DSPR </v>
          </cell>
          <cell r="E5" t="str">
            <v>DPR-12</v>
          </cell>
        </row>
        <row r="6">
          <cell r="D6" t="str">
            <v>FG-DSS12</v>
          </cell>
          <cell r="E6" t="str">
            <v>DSS-12</v>
          </cell>
        </row>
        <row r="7">
          <cell r="D7" t="str">
            <v>FG-DSS16</v>
          </cell>
          <cell r="E7" t="str">
            <v>DSS-16</v>
          </cell>
        </row>
        <row r="8">
          <cell r="D8" t="str">
            <v>FG-PNK12</v>
          </cell>
          <cell r="E8" t="str">
            <v>PNK-12</v>
          </cell>
        </row>
        <row r="9">
          <cell r="D9" t="str">
            <v>FG-DSS10</v>
          </cell>
          <cell r="E9" t="str">
            <v>DSS-10</v>
          </cell>
        </row>
        <row r="10">
          <cell r="D10" t="str">
            <v>FG-MGF12</v>
          </cell>
          <cell r="E10" t="str">
            <v>DSM-12</v>
          </cell>
        </row>
        <row r="11">
          <cell r="D11" t="str">
            <v>FG-AML12</v>
          </cell>
          <cell r="E11" t="str">
            <v>MLD-12</v>
          </cell>
        </row>
        <row r="12">
          <cell r="D12" t="str">
            <v>FG-AML16</v>
          </cell>
          <cell r="E12" t="str">
            <v>MLD-16</v>
          </cell>
        </row>
        <row r="13">
          <cell r="D13" t="str">
            <v>FG-AMM16</v>
          </cell>
          <cell r="E13" t="str">
            <v>MTL-16</v>
          </cell>
        </row>
        <row r="14">
          <cell r="D14" t="str">
            <v>FG-DSF12</v>
          </cell>
          <cell r="E14" t="str">
            <v>DSF-12</v>
          </cell>
        </row>
        <row r="15">
          <cell r="D15" t="str">
            <v>FG-UML16</v>
          </cell>
          <cell r="E15" t="str">
            <v>UML16</v>
          </cell>
        </row>
        <row r="16">
          <cell r="D16" t="str">
            <v>FG-DFB12</v>
          </cell>
          <cell r="E16" t="str">
            <v>NDF-12</v>
          </cell>
        </row>
        <row r="17">
          <cell r="D17" t="str">
            <v>FG-EMP (</v>
          </cell>
          <cell r="E17" t="str">
            <v>EMP</v>
          </cell>
        </row>
        <row r="18">
          <cell r="D18" t="str">
            <v xml:space="preserve">FG-AML12 </v>
          </cell>
          <cell r="E18" t="str">
            <v>MLD-12 TIPS</v>
          </cell>
        </row>
        <row r="19">
          <cell r="D19" t="str">
            <v>FG-MBR20</v>
          </cell>
          <cell r="E19" t="str">
            <v>MBR 20</v>
          </cell>
        </row>
        <row r="20">
          <cell r="D20" t="str">
            <v>FG-MBL20</v>
          </cell>
          <cell r="E20" t="str">
            <v>MBL 20</v>
          </cell>
        </row>
        <row r="21">
          <cell r="D21" t="str">
            <v>FG-MMF20</v>
          </cell>
          <cell r="E21" t="str">
            <v>MMF 20</v>
          </cell>
        </row>
        <row r="22">
          <cell r="D22" t="str">
            <v>FG-MML20</v>
          </cell>
          <cell r="E22" t="str">
            <v>MML 20</v>
          </cell>
        </row>
        <row r="23">
          <cell r="D23" t="str">
            <v>FG-MIX12</v>
          </cell>
          <cell r="E23" t="str">
            <v>MKF-12</v>
          </cell>
        </row>
        <row r="24">
          <cell r="D24" t="str">
            <v>FG-TAG12</v>
          </cell>
          <cell r="E24" t="str">
            <v>SAG-12 TIPS</v>
          </cell>
        </row>
        <row r="25">
          <cell r="D25" t="str">
            <v>FG-TGS12</v>
          </cell>
          <cell r="E25" t="str">
            <v>SAG-12 TIPS S&amp;S</v>
          </cell>
        </row>
        <row r="26">
          <cell r="D26" t="str">
            <v>FG-AVR16</v>
          </cell>
          <cell r="E26" t="str">
            <v>AVR16</v>
          </cell>
        </row>
        <row r="27">
          <cell r="D27" t="str">
            <v>FG-AVM16</v>
          </cell>
          <cell r="E27" t="str">
            <v>AVM16</v>
          </cell>
        </row>
        <row r="28">
          <cell r="D28" t="str">
            <v>FG-UML12</v>
          </cell>
          <cell r="E28" t="str">
            <v>UML12</v>
          </cell>
        </row>
        <row r="29">
          <cell r="D29" t="str">
            <v>FG-DSPT</v>
          </cell>
          <cell r="E29" t="str">
            <v>DPT12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DR"/>
      <sheetName val="ODRCT"/>
      <sheetName val="Sheet1"/>
      <sheetName val="ORD-PP2"/>
      <sheetName val="Form-pp2"/>
      <sheetName val="ORD-UCT"/>
      <sheetName val="ORD-CT"/>
      <sheetName val="Form-tt"/>
      <sheetName val="toyo"/>
      <sheetName val="stock (2)"/>
      <sheetName val="Odr-Khusu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G"/>
      <sheetName val="AA38YC"/>
      <sheetName val="AA30T_KRW"/>
      <sheetName val="Order lamina diet PMID"/>
      <sheetName val="PMA"/>
      <sheetName val="Kalender"/>
      <sheetName val="PPLAN"/>
      <sheetName val="Summary"/>
      <sheetName val="EPPC"/>
      <sheetName val="Jadwal_addback_CRES"/>
      <sheetName val="Jadwal_addback"/>
      <sheetName val="WPP"/>
      <sheetName val="Small Lamina"/>
      <sheetName val="Order ke LTS"/>
      <sheetName val="Order RS ke LTS "/>
      <sheetName val="Int_SIS"/>
      <sheetName val="Simulasi_Diet_Line"/>
      <sheetName val="Simulasi stock CF"/>
      <sheetName val="Simulasi"/>
      <sheetName val="Simulasi W+1"/>
      <sheetName val="simulasi tambahan"/>
      <sheetName val="DOI CF W26"/>
      <sheetName val="V0J8R"/>
      <sheetName val="Overtime"/>
      <sheetName val="Order clove KRW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CE7">
            <v>719030</v>
          </cell>
        </row>
        <row r="8">
          <cell r="CE8">
            <v>275470</v>
          </cell>
        </row>
        <row r="11">
          <cell r="CE11">
            <v>127360.08648000003</v>
          </cell>
        </row>
        <row r="16">
          <cell r="CE16">
            <v>99261.360000000015</v>
          </cell>
        </row>
      </sheetData>
      <sheetData sheetId="7">
        <row r="3">
          <cell r="D3">
            <v>36</v>
          </cell>
        </row>
        <row r="4">
          <cell r="D4">
            <v>16</v>
          </cell>
        </row>
        <row r="6">
          <cell r="D6">
            <v>7</v>
          </cell>
        </row>
        <row r="10">
          <cell r="D10">
            <v>6</v>
          </cell>
        </row>
      </sheetData>
      <sheetData sheetId="8">
        <row r="4">
          <cell r="N4">
            <v>4</v>
          </cell>
        </row>
        <row r="8">
          <cell r="I8">
            <v>430870</v>
          </cell>
          <cell r="J8">
            <v>561600</v>
          </cell>
          <cell r="N8">
            <v>32</v>
          </cell>
        </row>
        <row r="9">
          <cell r="I9">
            <v>133280</v>
          </cell>
          <cell r="J9">
            <v>266760</v>
          </cell>
          <cell r="N9">
            <v>17</v>
          </cell>
        </row>
        <row r="12">
          <cell r="N12">
            <v>4</v>
          </cell>
        </row>
        <row r="13">
          <cell r="N13">
            <v>0</v>
          </cell>
        </row>
        <row r="16">
          <cell r="I16">
            <v>81936.476699999999</v>
          </cell>
          <cell r="J16">
            <v>84052.908060000016</v>
          </cell>
        </row>
        <row r="17">
          <cell r="I17">
            <v>22618</v>
          </cell>
          <cell r="J17">
            <v>7503.0218352000002</v>
          </cell>
          <cell r="N17">
            <v>0</v>
          </cell>
        </row>
        <row r="18">
          <cell r="I18">
            <v>0</v>
          </cell>
          <cell r="J18">
            <v>0</v>
          </cell>
          <cell r="N18">
            <v>0</v>
          </cell>
        </row>
        <row r="19">
          <cell r="I19">
            <v>24460</v>
          </cell>
          <cell r="J19">
            <v>9360</v>
          </cell>
          <cell r="N19">
            <v>0</v>
          </cell>
        </row>
        <row r="20">
          <cell r="I20">
            <v>72301</v>
          </cell>
          <cell r="J20">
            <v>65538</v>
          </cell>
          <cell r="N20">
            <v>3</v>
          </cell>
        </row>
        <row r="21">
          <cell r="N21">
            <v>0</v>
          </cell>
        </row>
        <row r="22">
          <cell r="I22">
            <v>0</v>
          </cell>
          <cell r="J22">
            <v>0</v>
          </cell>
          <cell r="N22">
            <v>0</v>
          </cell>
        </row>
        <row r="23">
          <cell r="I23" t="e">
            <v>#VALUE!</v>
          </cell>
          <cell r="J23">
            <v>0</v>
          </cell>
          <cell r="N23">
            <v>0</v>
          </cell>
        </row>
        <row r="24">
          <cell r="I24">
            <v>83688.000000000029</v>
          </cell>
          <cell r="J24">
            <v>80003.999999999971</v>
          </cell>
          <cell r="N24">
            <v>7</v>
          </cell>
        </row>
        <row r="25">
          <cell r="I25">
            <v>0</v>
          </cell>
          <cell r="J25">
            <v>0</v>
          </cell>
          <cell r="N25">
            <v>0</v>
          </cell>
        </row>
        <row r="26">
          <cell r="I26">
            <v>0</v>
          </cell>
          <cell r="J26">
            <v>0</v>
          </cell>
          <cell r="N26">
            <v>1</v>
          </cell>
        </row>
        <row r="27">
          <cell r="I27">
            <v>17338</v>
          </cell>
          <cell r="J27">
            <v>13412.044799999998</v>
          </cell>
          <cell r="N27">
            <v>0</v>
          </cell>
        </row>
        <row r="28">
          <cell r="I28">
            <v>0</v>
          </cell>
          <cell r="J28">
            <v>0</v>
          </cell>
          <cell r="N28">
            <v>0</v>
          </cell>
        </row>
        <row r="29">
          <cell r="I29">
            <v>86581</v>
          </cell>
          <cell r="J29">
            <v>47520</v>
          </cell>
          <cell r="N29">
            <v>0</v>
          </cell>
        </row>
        <row r="30">
          <cell r="I30">
            <v>3532</v>
          </cell>
          <cell r="J30">
            <v>1148.5320000000004</v>
          </cell>
          <cell r="N30">
            <v>0</v>
          </cell>
        </row>
        <row r="31">
          <cell r="N31">
            <v>0</v>
          </cell>
        </row>
        <row r="33">
          <cell r="N33">
            <v>1</v>
          </cell>
        </row>
        <row r="34">
          <cell r="I34">
            <v>469560</v>
          </cell>
          <cell r="N34">
            <v>6</v>
          </cell>
        </row>
        <row r="35">
          <cell r="N35">
            <v>0</v>
          </cell>
        </row>
        <row r="36">
          <cell r="N36">
            <v>0</v>
          </cell>
        </row>
        <row r="38">
          <cell r="I38">
            <v>59257.766975912993</v>
          </cell>
          <cell r="N38">
            <v>20</v>
          </cell>
        </row>
        <row r="39">
          <cell r="I39" t="e">
            <v>#REF!</v>
          </cell>
          <cell r="N39" t="e">
            <v>#REF!</v>
          </cell>
        </row>
        <row r="40">
          <cell r="N40">
            <v>2</v>
          </cell>
        </row>
        <row r="41">
          <cell r="N41">
            <v>0</v>
          </cell>
        </row>
        <row r="44">
          <cell r="I44">
            <v>124232.57989677612</v>
          </cell>
          <cell r="N44">
            <v>27</v>
          </cell>
        </row>
        <row r="45">
          <cell r="N45">
            <v>0</v>
          </cell>
        </row>
        <row r="47">
          <cell r="I47">
            <v>31881.578817611007</v>
          </cell>
          <cell r="N47" t="e">
            <v>#REF!</v>
          </cell>
        </row>
        <row r="50">
          <cell r="I50">
            <v>46306.04340502384</v>
          </cell>
          <cell r="N50">
            <v>14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6600"/>
    <pageSetUpPr fitToPage="1"/>
  </sheetPr>
  <dimension ref="A1:AF152"/>
  <sheetViews>
    <sheetView tabSelected="1" zoomScale="110" zoomScaleNormal="110" zoomScaleSheetLayoutView="85" workbookViewId="0">
      <pane ySplit="5" topLeftCell="A6" activePane="bottomLeft" state="frozen"/>
      <selection activeCell="BU9" sqref="BU9"/>
      <selection pane="bottomLeft" activeCell="R9" sqref="R9"/>
    </sheetView>
  </sheetViews>
  <sheetFormatPr defaultColWidth="0" defaultRowHeight="13.2" x14ac:dyDescent="0.25"/>
  <cols>
    <col min="1" max="1" width="0.77734375" style="1" hidden="1" customWidth="1"/>
    <col min="2" max="2" width="13.21875" style="1" hidden="1" customWidth="1"/>
    <col min="3" max="3" width="31.21875" style="1" hidden="1" customWidth="1"/>
    <col min="4" max="10" width="10" style="1" hidden="1" customWidth="1"/>
    <col min="11" max="11" width="10.21875" style="5" hidden="1" customWidth="1"/>
    <col min="12" max="12" width="3.77734375" style="6" customWidth="1"/>
    <col min="13" max="13" width="19.77734375" style="1" customWidth="1"/>
    <col min="14" max="14" width="20.109375" style="1" customWidth="1"/>
    <col min="15" max="21" width="5.21875" style="1" customWidth="1"/>
    <col min="22" max="22" width="6.44140625" style="7" customWidth="1"/>
    <col min="23" max="23" width="1.21875" style="1" customWidth="1"/>
    <col min="24" max="24" width="6.77734375" style="1" hidden="1" customWidth="1"/>
    <col min="25" max="25" width="8.21875" style="1" hidden="1" customWidth="1"/>
    <col min="26" max="32" width="10" style="1" hidden="1" customWidth="1"/>
    <col min="33" max="16384" width="0" style="1" hidden="1"/>
  </cols>
  <sheetData>
    <row r="1" spans="1:32" x14ac:dyDescent="0.25">
      <c r="B1" s="2" t="str">
        <f>"SIMULASI STOCK HARIAN W"&amp;[3]EPPC!N4</f>
        <v>SIMULASI STOCK HARIAN W4</v>
      </c>
      <c r="C1" s="3"/>
      <c r="D1" s="4"/>
      <c r="E1" s="4"/>
      <c r="F1" s="4"/>
      <c r="G1" s="4"/>
      <c r="H1" s="4"/>
      <c r="I1" s="4"/>
      <c r="J1" s="4"/>
      <c r="Z1" s="4"/>
      <c r="AA1" s="4"/>
      <c r="AB1" s="4"/>
      <c r="AC1" s="4"/>
      <c r="AD1" s="4"/>
      <c r="AE1" s="4"/>
      <c r="AF1" s="4"/>
    </row>
    <row r="2" spans="1:32" s="8" customFormat="1" ht="4.2" x14ac:dyDescent="0.25">
      <c r="K2" s="9"/>
      <c r="L2" s="10"/>
      <c r="V2" s="11"/>
    </row>
    <row r="3" spans="1:32" x14ac:dyDescent="0.25">
      <c r="B3" s="105" t="s">
        <v>0</v>
      </c>
      <c r="C3" s="108" t="s">
        <v>1</v>
      </c>
      <c r="D3" s="12" t="s">
        <v>2</v>
      </c>
      <c r="E3" s="12" t="s">
        <v>3</v>
      </c>
      <c r="F3" s="12" t="s">
        <v>4</v>
      </c>
      <c r="G3" s="12" t="s">
        <v>5</v>
      </c>
      <c r="H3" s="12" t="s">
        <v>6</v>
      </c>
      <c r="I3" s="12" t="s">
        <v>7</v>
      </c>
      <c r="J3" s="12" t="s">
        <v>8</v>
      </c>
      <c r="M3" s="13"/>
      <c r="Z3" s="12" t="s">
        <v>2</v>
      </c>
      <c r="AA3" s="12" t="s">
        <v>3</v>
      </c>
      <c r="AB3" s="12" t="s">
        <v>4</v>
      </c>
      <c r="AC3" s="12" t="s">
        <v>5</v>
      </c>
      <c r="AD3" s="12" t="s">
        <v>6</v>
      </c>
      <c r="AE3" s="12" t="s">
        <v>7</v>
      </c>
      <c r="AF3" s="12" t="s">
        <v>8</v>
      </c>
    </row>
    <row r="4" spans="1:32" x14ac:dyDescent="0.25">
      <c r="B4" s="106"/>
      <c r="C4" s="109"/>
      <c r="D4" s="14">
        <v>43843</v>
      </c>
      <c r="E4" s="15">
        <f t="shared" ref="E4:J4" si="0">D4+1</f>
        <v>43844</v>
      </c>
      <c r="F4" s="15">
        <f t="shared" si="0"/>
        <v>43845</v>
      </c>
      <c r="G4" s="15">
        <f t="shared" si="0"/>
        <v>43846</v>
      </c>
      <c r="H4" s="15">
        <f t="shared" si="0"/>
        <v>43847</v>
      </c>
      <c r="I4" s="15">
        <f t="shared" si="0"/>
        <v>43848</v>
      </c>
      <c r="J4" s="15">
        <f t="shared" si="0"/>
        <v>43849</v>
      </c>
      <c r="O4" s="16"/>
      <c r="P4" s="16"/>
      <c r="Q4" s="16"/>
      <c r="R4" s="16"/>
      <c r="S4" s="16"/>
      <c r="T4" s="16"/>
      <c r="U4" s="16"/>
      <c r="V4" s="17"/>
      <c r="Z4" s="14">
        <f>J4+1</f>
        <v>43850</v>
      </c>
      <c r="AA4" s="15">
        <f t="shared" ref="AA4:AF4" si="1">Z4+1</f>
        <v>43851</v>
      </c>
      <c r="AB4" s="15">
        <f t="shared" si="1"/>
        <v>43852</v>
      </c>
      <c r="AC4" s="15">
        <f t="shared" si="1"/>
        <v>43853</v>
      </c>
      <c r="AD4" s="15">
        <f t="shared" si="1"/>
        <v>43854</v>
      </c>
      <c r="AE4" s="15">
        <f t="shared" si="1"/>
        <v>43855</v>
      </c>
      <c r="AF4" s="15">
        <f t="shared" si="1"/>
        <v>43856</v>
      </c>
    </row>
    <row r="5" spans="1:32" x14ac:dyDescent="0.25">
      <c r="B5" s="107"/>
      <c r="C5" s="110"/>
      <c r="D5" s="18" t="s">
        <v>9</v>
      </c>
      <c r="E5" s="18" t="s">
        <v>9</v>
      </c>
      <c r="F5" s="18" t="s">
        <v>9</v>
      </c>
      <c r="G5" s="18" t="s">
        <v>9</v>
      </c>
      <c r="H5" s="18" t="s">
        <v>9</v>
      </c>
      <c r="I5" s="18" t="s">
        <v>9</v>
      </c>
      <c r="J5" s="18" t="s">
        <v>9</v>
      </c>
      <c r="M5" s="19" t="s">
        <v>10</v>
      </c>
      <c r="N5" s="111" t="s">
        <v>66</v>
      </c>
      <c r="O5" s="19" t="s">
        <v>11</v>
      </c>
      <c r="P5" s="20" t="s">
        <v>12</v>
      </c>
      <c r="Q5" s="19" t="s">
        <v>13</v>
      </c>
      <c r="R5" s="19" t="s">
        <v>14</v>
      </c>
      <c r="S5" s="19" t="s">
        <v>15</v>
      </c>
      <c r="T5" s="19" t="s">
        <v>16</v>
      </c>
      <c r="U5" s="19" t="s">
        <v>17</v>
      </c>
      <c r="V5" s="21" t="s">
        <v>18</v>
      </c>
      <c r="Z5" s="18" t="s">
        <v>9</v>
      </c>
      <c r="AA5" s="18" t="s">
        <v>9</v>
      </c>
      <c r="AB5" s="18" t="s">
        <v>9</v>
      </c>
      <c r="AC5" s="18" t="s">
        <v>9</v>
      </c>
      <c r="AD5" s="18" t="s">
        <v>9</v>
      </c>
      <c r="AE5" s="18" t="s">
        <v>9</v>
      </c>
      <c r="AF5" s="18" t="s">
        <v>9</v>
      </c>
    </row>
    <row r="6" spans="1:32" x14ac:dyDescent="0.25">
      <c r="B6" s="22" t="s">
        <v>19</v>
      </c>
      <c r="C6" s="23" t="s">
        <v>20</v>
      </c>
      <c r="D6" s="24">
        <f>[3]EPPC!$I$8/1000</f>
        <v>430.87</v>
      </c>
      <c r="E6" s="24">
        <f t="shared" ref="E6:J6" si="2">D9</f>
        <v>290.47000000000003</v>
      </c>
      <c r="F6" s="25">
        <f t="shared" si="2"/>
        <v>150.07000000000002</v>
      </c>
      <c r="G6" s="25">
        <f t="shared" si="2"/>
        <v>69.750000000000028</v>
      </c>
      <c r="H6" s="25">
        <f t="shared" si="2"/>
        <v>30.960000000000036</v>
      </c>
      <c r="I6" s="25">
        <f t="shared" si="2"/>
        <v>-22.799999999999955</v>
      </c>
      <c r="J6" s="25">
        <f t="shared" si="2"/>
        <v>127.84000000000005</v>
      </c>
      <c r="M6" s="26" t="s">
        <v>19</v>
      </c>
      <c r="N6" s="27">
        <f>[3]EPPC!$N$8</f>
        <v>32</v>
      </c>
      <c r="O6" s="28"/>
      <c r="P6" s="28"/>
      <c r="Q6" s="28">
        <v>2</v>
      </c>
      <c r="R6" s="28">
        <v>8</v>
      </c>
      <c r="S6" s="28">
        <v>6</v>
      </c>
      <c r="T6" s="28">
        <v>10</v>
      </c>
      <c r="U6" s="28">
        <v>16</v>
      </c>
      <c r="V6" s="29">
        <f t="shared" ref="V6:V15" si="3">SUM(O6:U6)</f>
        <v>42</v>
      </c>
      <c r="Y6" s="1" t="str">
        <f>M6</f>
        <v>D0A1VC</v>
      </c>
      <c r="Z6" s="24">
        <f>J9</f>
        <v>383.84000000000003</v>
      </c>
      <c r="AA6" s="24">
        <f t="shared" ref="AA6:AF6" si="4">Z9</f>
        <v>215.36000000000004</v>
      </c>
      <c r="AB6" s="25">
        <f t="shared" si="4"/>
        <v>98.360000000000042</v>
      </c>
      <c r="AC6" s="25">
        <f t="shared" si="4"/>
        <v>98.360000000000042</v>
      </c>
      <c r="AD6" s="25">
        <f t="shared" si="4"/>
        <v>98.360000000000042</v>
      </c>
      <c r="AE6" s="25">
        <f t="shared" si="4"/>
        <v>98.360000000000042</v>
      </c>
      <c r="AF6" s="25">
        <f t="shared" si="4"/>
        <v>98.360000000000042</v>
      </c>
    </row>
    <row r="7" spans="1:32" x14ac:dyDescent="0.25">
      <c r="B7" s="30">
        <f>[3]EPPC!$N$8</f>
        <v>32</v>
      </c>
      <c r="C7" s="31" t="s">
        <v>21</v>
      </c>
      <c r="D7" s="32">
        <f t="shared" ref="D7:J7" si="5">$K$7*D10</f>
        <v>0</v>
      </c>
      <c r="E7" s="32">
        <f t="shared" si="5"/>
        <v>0</v>
      </c>
      <c r="F7" s="32">
        <f t="shared" si="5"/>
        <v>32</v>
      </c>
      <c r="G7" s="32">
        <f t="shared" si="5"/>
        <v>128</v>
      </c>
      <c r="H7" s="32">
        <f t="shared" si="5"/>
        <v>96</v>
      </c>
      <c r="I7" s="32">
        <f t="shared" si="5"/>
        <v>160</v>
      </c>
      <c r="J7" s="32">
        <f t="shared" si="5"/>
        <v>256</v>
      </c>
      <c r="K7" s="33">
        <v>16</v>
      </c>
      <c r="L7" s="6">
        <f>SUM(D7:J7)/K7</f>
        <v>42</v>
      </c>
      <c r="M7" s="26" t="s">
        <v>22</v>
      </c>
      <c r="N7" s="34">
        <f>[3]EPPC!$N$9</f>
        <v>17</v>
      </c>
      <c r="O7" s="28"/>
      <c r="P7" s="28"/>
      <c r="Q7" s="28">
        <v>10</v>
      </c>
      <c r="R7" s="28"/>
      <c r="S7" s="28"/>
      <c r="T7" s="28"/>
      <c r="U7" s="28"/>
      <c r="V7" s="29">
        <f t="shared" si="3"/>
        <v>10</v>
      </c>
      <c r="Z7" s="32">
        <f>$K$7*Z10</f>
        <v>0</v>
      </c>
      <c r="AA7" s="32">
        <f t="shared" ref="AA7:AF7" si="6">$K$7*AA10</f>
        <v>0</v>
      </c>
      <c r="AB7" s="32">
        <f t="shared" si="6"/>
        <v>0</v>
      </c>
      <c r="AC7" s="32">
        <f t="shared" si="6"/>
        <v>0</v>
      </c>
      <c r="AD7" s="32">
        <f t="shared" si="6"/>
        <v>0</v>
      </c>
      <c r="AE7" s="32">
        <f t="shared" si="6"/>
        <v>0</v>
      </c>
      <c r="AF7" s="32">
        <f t="shared" si="6"/>
        <v>0</v>
      </c>
    </row>
    <row r="8" spans="1:32" s="7" customFormat="1" x14ac:dyDescent="0.25">
      <c r="B8" s="35">
        <f>SUM(D8:J8)</f>
        <v>719.03</v>
      </c>
      <c r="C8" s="36" t="s">
        <v>23</v>
      </c>
      <c r="D8" s="37">
        <v>140.4</v>
      </c>
      <c r="E8" s="37">
        <v>140.4</v>
      </c>
      <c r="F8" s="37">
        <v>112.32</v>
      </c>
      <c r="G8" s="37">
        <v>166.79</v>
      </c>
      <c r="H8" s="37">
        <v>149.76</v>
      </c>
      <c r="I8" s="37">
        <v>9.36</v>
      </c>
      <c r="J8" s="37">
        <v>0</v>
      </c>
      <c r="K8" s="38"/>
      <c r="L8" s="6"/>
      <c r="M8" s="26" t="s">
        <v>24</v>
      </c>
      <c r="N8" s="34">
        <f>[3]EPPC!N12</f>
        <v>4</v>
      </c>
      <c r="O8" s="39">
        <f t="shared" ref="O8:U8" si="7">D25</f>
        <v>5</v>
      </c>
      <c r="P8" s="39">
        <f t="shared" si="7"/>
        <v>1</v>
      </c>
      <c r="Q8" s="39">
        <f t="shared" si="7"/>
        <v>1</v>
      </c>
      <c r="R8" s="39">
        <f t="shared" si="7"/>
        <v>4</v>
      </c>
      <c r="S8" s="39">
        <f t="shared" si="7"/>
        <v>1</v>
      </c>
      <c r="T8" s="39">
        <f t="shared" si="7"/>
        <v>1</v>
      </c>
      <c r="U8" s="39">
        <f t="shared" si="7"/>
        <v>0</v>
      </c>
      <c r="V8" s="29">
        <f t="shared" si="3"/>
        <v>13</v>
      </c>
      <c r="X8" s="7" t="s">
        <v>25</v>
      </c>
      <c r="Y8" s="40">
        <f>[3]PPLAN!CE7/1000</f>
        <v>719.03</v>
      </c>
      <c r="Z8" s="37">
        <v>168.48</v>
      </c>
      <c r="AA8" s="37">
        <v>117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</row>
    <row r="9" spans="1:32" x14ac:dyDescent="0.25">
      <c r="B9" s="41">
        <f>[3]EPPC!$J$8/1000</f>
        <v>561.6</v>
      </c>
      <c r="C9" s="42" t="s">
        <v>26</v>
      </c>
      <c r="D9" s="43">
        <f t="shared" ref="D9:J9" si="8">D6+D7-D8</f>
        <v>290.47000000000003</v>
      </c>
      <c r="E9" s="43">
        <f t="shared" si="8"/>
        <v>150.07000000000002</v>
      </c>
      <c r="F9" s="43">
        <f t="shared" si="8"/>
        <v>69.750000000000028</v>
      </c>
      <c r="G9" s="43">
        <f t="shared" si="8"/>
        <v>30.960000000000036</v>
      </c>
      <c r="H9" s="44">
        <f t="shared" si="8"/>
        <v>-22.799999999999955</v>
      </c>
      <c r="I9" s="43">
        <f t="shared" si="8"/>
        <v>127.84000000000005</v>
      </c>
      <c r="J9" s="44">
        <f t="shared" si="8"/>
        <v>383.84000000000003</v>
      </c>
      <c r="K9" s="45"/>
      <c r="M9" s="26" t="s">
        <v>27</v>
      </c>
      <c r="N9" s="34">
        <f>[3]EPPC!N13</f>
        <v>0</v>
      </c>
      <c r="O9" s="39"/>
      <c r="P9" s="39"/>
      <c r="Q9" s="39"/>
      <c r="R9" s="39"/>
      <c r="S9" s="39"/>
      <c r="T9" s="39"/>
      <c r="U9" s="39"/>
      <c r="V9" s="29">
        <f t="shared" si="3"/>
        <v>0</v>
      </c>
      <c r="Z9" s="43">
        <f t="shared" ref="Z9:AF9" si="9">Z6+Z7-Z8</f>
        <v>215.36000000000004</v>
      </c>
      <c r="AA9" s="43">
        <f t="shared" si="9"/>
        <v>98.360000000000042</v>
      </c>
      <c r="AB9" s="43">
        <f t="shared" si="9"/>
        <v>98.360000000000042</v>
      </c>
      <c r="AC9" s="43">
        <f t="shared" si="9"/>
        <v>98.360000000000042</v>
      </c>
      <c r="AD9" s="44">
        <f t="shared" si="9"/>
        <v>98.360000000000042</v>
      </c>
      <c r="AE9" s="43">
        <f t="shared" si="9"/>
        <v>98.360000000000042</v>
      </c>
      <c r="AF9" s="44">
        <f t="shared" si="9"/>
        <v>98.360000000000042</v>
      </c>
    </row>
    <row r="10" spans="1:32" s="46" customFormat="1" x14ac:dyDescent="0.25">
      <c r="B10" s="47"/>
      <c r="C10" s="48" t="s">
        <v>28</v>
      </c>
      <c r="D10" s="49">
        <f t="shared" ref="D10:J10" si="10">O6</f>
        <v>0</v>
      </c>
      <c r="E10" s="49">
        <f t="shared" si="10"/>
        <v>0</v>
      </c>
      <c r="F10" s="49">
        <f t="shared" si="10"/>
        <v>2</v>
      </c>
      <c r="G10" s="49">
        <f t="shared" si="10"/>
        <v>8</v>
      </c>
      <c r="H10" s="49">
        <f>S6</f>
        <v>6</v>
      </c>
      <c r="I10" s="49">
        <f>T6</f>
        <v>10</v>
      </c>
      <c r="J10" s="49">
        <f t="shared" si="10"/>
        <v>16</v>
      </c>
      <c r="K10" s="50"/>
      <c r="L10" s="51"/>
      <c r="M10" s="26" t="s">
        <v>29</v>
      </c>
      <c r="N10" s="34">
        <f>[3]EPPC!N17</f>
        <v>0</v>
      </c>
      <c r="O10" s="39">
        <f t="shared" ref="O10:U10" si="11">D30</f>
        <v>0</v>
      </c>
      <c r="P10" s="39">
        <f t="shared" si="11"/>
        <v>0</v>
      </c>
      <c r="Q10" s="39">
        <f t="shared" si="11"/>
        <v>0</v>
      </c>
      <c r="R10" s="39">
        <f t="shared" si="11"/>
        <v>0</v>
      </c>
      <c r="S10" s="39">
        <f t="shared" si="11"/>
        <v>0</v>
      </c>
      <c r="T10" s="39">
        <f t="shared" si="11"/>
        <v>0</v>
      </c>
      <c r="U10" s="39">
        <f t="shared" si="11"/>
        <v>0</v>
      </c>
      <c r="V10" s="29">
        <f t="shared" si="3"/>
        <v>0</v>
      </c>
      <c r="X10" s="1" t="s">
        <v>30</v>
      </c>
      <c r="Y10" s="1">
        <f>[3]Summary!D3</f>
        <v>36</v>
      </c>
      <c r="Z10" s="49">
        <v>0</v>
      </c>
      <c r="AA10" s="49">
        <v>0</v>
      </c>
      <c r="AB10" s="49">
        <v>0</v>
      </c>
      <c r="AC10" s="49">
        <v>0</v>
      </c>
      <c r="AD10" s="49">
        <v>0</v>
      </c>
      <c r="AE10" s="49">
        <v>0</v>
      </c>
      <c r="AF10" s="49">
        <v>0</v>
      </c>
    </row>
    <row r="11" spans="1:32" s="52" customFormat="1" x14ac:dyDescent="0.25">
      <c r="B11" s="22" t="s">
        <v>22</v>
      </c>
      <c r="C11" s="23" t="s">
        <v>20</v>
      </c>
      <c r="D11" s="24">
        <f>[3]EPPC!$I$9/1000</f>
        <v>133.28</v>
      </c>
      <c r="E11" s="24">
        <f t="shared" ref="E11:J11" si="12">D14</f>
        <v>79.460000000000008</v>
      </c>
      <c r="F11" s="25">
        <f t="shared" si="12"/>
        <v>25.640000000000008</v>
      </c>
      <c r="G11" s="25">
        <f t="shared" si="12"/>
        <v>115.44000000000001</v>
      </c>
      <c r="H11" s="25">
        <f t="shared" si="12"/>
        <v>85.670000000000016</v>
      </c>
      <c r="I11" s="25">
        <f t="shared" si="12"/>
        <v>38.870000000000019</v>
      </c>
      <c r="J11" s="25">
        <f t="shared" si="12"/>
        <v>17.81000000000002</v>
      </c>
      <c r="K11" s="45"/>
      <c r="L11" s="6"/>
      <c r="M11" s="26" t="s">
        <v>31</v>
      </c>
      <c r="N11" s="34">
        <f>B32</f>
        <v>0</v>
      </c>
      <c r="O11" s="39">
        <f t="shared" ref="O11:U11" si="13">D35</f>
        <v>0</v>
      </c>
      <c r="P11" s="39">
        <f t="shared" si="13"/>
        <v>0</v>
      </c>
      <c r="Q11" s="39">
        <f t="shared" si="13"/>
        <v>0</v>
      </c>
      <c r="R11" s="39">
        <f t="shared" si="13"/>
        <v>0</v>
      </c>
      <c r="S11" s="39">
        <f t="shared" si="13"/>
        <v>0</v>
      </c>
      <c r="T11" s="39">
        <f t="shared" si="13"/>
        <v>0</v>
      </c>
      <c r="U11" s="39">
        <f t="shared" si="13"/>
        <v>0</v>
      </c>
      <c r="V11" s="29">
        <f t="shared" si="3"/>
        <v>0</v>
      </c>
      <c r="Y11" s="13" t="str">
        <f>M7</f>
        <v>V0N5PC</v>
      </c>
      <c r="Z11" s="24">
        <f>J14</f>
        <v>17.81000000000002</v>
      </c>
      <c r="AA11" s="24">
        <f t="shared" ref="AA11:AF11" si="14">Z14</f>
        <v>-38.34999999999998</v>
      </c>
      <c r="AB11" s="25">
        <f t="shared" si="14"/>
        <v>-141.30999999999997</v>
      </c>
      <c r="AC11" s="25">
        <f t="shared" si="14"/>
        <v>-141.30999999999997</v>
      </c>
      <c r="AD11" s="25">
        <f t="shared" si="14"/>
        <v>-141.30999999999997</v>
      </c>
      <c r="AE11" s="25">
        <f t="shared" si="14"/>
        <v>-141.30999999999997</v>
      </c>
      <c r="AF11" s="25">
        <f t="shared" si="14"/>
        <v>-141.30999999999997</v>
      </c>
    </row>
    <row r="12" spans="1:32" x14ac:dyDescent="0.25">
      <c r="B12" s="30">
        <f>[3]EPPC!$N$9</f>
        <v>17</v>
      </c>
      <c r="C12" s="31" t="s">
        <v>21</v>
      </c>
      <c r="D12" s="32">
        <f t="shared" ref="D12:J12" si="15">$K$12*D15</f>
        <v>0</v>
      </c>
      <c r="E12" s="32">
        <f t="shared" si="15"/>
        <v>0</v>
      </c>
      <c r="F12" s="32">
        <f t="shared" si="15"/>
        <v>160</v>
      </c>
      <c r="G12" s="32">
        <f t="shared" si="15"/>
        <v>0</v>
      </c>
      <c r="H12" s="32">
        <f t="shared" si="15"/>
        <v>0</v>
      </c>
      <c r="I12" s="32">
        <f t="shared" si="15"/>
        <v>0</v>
      </c>
      <c r="J12" s="32">
        <f t="shared" si="15"/>
        <v>0</v>
      </c>
      <c r="K12" s="33">
        <v>16</v>
      </c>
      <c r="L12" s="6">
        <f>SUM(D12:J12)/K12</f>
        <v>10</v>
      </c>
      <c r="M12" s="26" t="s">
        <v>32</v>
      </c>
      <c r="N12" s="34">
        <f>[3]EPPC!N19</f>
        <v>0</v>
      </c>
      <c r="O12" s="39">
        <f t="shared" ref="O12:U12" si="16">D40</f>
        <v>0</v>
      </c>
      <c r="P12" s="39">
        <f t="shared" si="16"/>
        <v>0</v>
      </c>
      <c r="Q12" s="39">
        <f t="shared" si="16"/>
        <v>2</v>
      </c>
      <c r="R12" s="39">
        <f t="shared" si="16"/>
        <v>0</v>
      </c>
      <c r="S12" s="39">
        <f t="shared" si="16"/>
        <v>0</v>
      </c>
      <c r="T12" s="39">
        <f t="shared" si="16"/>
        <v>0</v>
      </c>
      <c r="U12" s="39">
        <f t="shared" si="16"/>
        <v>0</v>
      </c>
      <c r="V12" s="29">
        <f t="shared" si="3"/>
        <v>2</v>
      </c>
      <c r="Z12" s="32">
        <f t="shared" ref="Z12:AF12" si="17">$K$12*Z15</f>
        <v>0</v>
      </c>
      <c r="AA12" s="32">
        <f t="shared" si="17"/>
        <v>0</v>
      </c>
      <c r="AB12" s="32">
        <f t="shared" si="17"/>
        <v>0</v>
      </c>
      <c r="AC12" s="32">
        <f t="shared" si="17"/>
        <v>0</v>
      </c>
      <c r="AD12" s="32">
        <f t="shared" si="17"/>
        <v>0</v>
      </c>
      <c r="AE12" s="32">
        <f t="shared" si="17"/>
        <v>0</v>
      </c>
      <c r="AF12" s="32">
        <f t="shared" si="17"/>
        <v>0</v>
      </c>
    </row>
    <row r="13" spans="1:32" x14ac:dyDescent="0.25">
      <c r="B13" s="35">
        <f>SUM(D13:J13)</f>
        <v>275.47000000000003</v>
      </c>
      <c r="C13" s="36" t="s">
        <v>23</v>
      </c>
      <c r="D13" s="37">
        <v>53.82</v>
      </c>
      <c r="E13" s="37">
        <v>53.82</v>
      </c>
      <c r="F13" s="37">
        <v>70.2</v>
      </c>
      <c r="G13" s="37">
        <v>29.77</v>
      </c>
      <c r="H13" s="37">
        <v>46.8</v>
      </c>
      <c r="I13" s="37">
        <v>21.06</v>
      </c>
      <c r="J13" s="37">
        <v>0</v>
      </c>
      <c r="K13" s="38"/>
      <c r="M13" s="26" t="s">
        <v>33</v>
      </c>
      <c r="N13" s="34">
        <f>[3]EPPC!N20</f>
        <v>3</v>
      </c>
      <c r="O13" s="39">
        <f t="shared" ref="O13:U13" si="18">D45</f>
        <v>1</v>
      </c>
      <c r="P13" s="39">
        <f t="shared" si="18"/>
        <v>1</v>
      </c>
      <c r="Q13" s="39">
        <f t="shared" si="18"/>
        <v>1</v>
      </c>
      <c r="R13" s="39">
        <f t="shared" si="18"/>
        <v>1</v>
      </c>
      <c r="S13" s="39">
        <f t="shared" si="18"/>
        <v>1</v>
      </c>
      <c r="T13" s="39">
        <f t="shared" si="18"/>
        <v>1</v>
      </c>
      <c r="U13" s="39">
        <f t="shared" si="18"/>
        <v>0</v>
      </c>
      <c r="V13" s="29">
        <f t="shared" si="3"/>
        <v>6</v>
      </c>
      <c r="X13" s="7" t="s">
        <v>25</v>
      </c>
      <c r="Y13" s="40">
        <f>[3]PPLAN!CE8/1000</f>
        <v>275.47000000000003</v>
      </c>
      <c r="Z13" s="37">
        <v>56.16</v>
      </c>
      <c r="AA13" s="37">
        <v>102.96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</row>
    <row r="14" spans="1:32" s="7" customFormat="1" x14ac:dyDescent="0.25">
      <c r="B14" s="41">
        <f>[3]EPPC!$J$9/1000</f>
        <v>266.76</v>
      </c>
      <c r="C14" s="42" t="s">
        <v>26</v>
      </c>
      <c r="D14" s="43">
        <f t="shared" ref="D14:J14" si="19">D11+D12-D13</f>
        <v>79.460000000000008</v>
      </c>
      <c r="E14" s="43">
        <f t="shared" si="19"/>
        <v>25.640000000000008</v>
      </c>
      <c r="F14" s="43">
        <f t="shared" si="19"/>
        <v>115.44000000000001</v>
      </c>
      <c r="G14" s="43">
        <f t="shared" si="19"/>
        <v>85.670000000000016</v>
      </c>
      <c r="H14" s="44">
        <f t="shared" si="19"/>
        <v>38.870000000000019</v>
      </c>
      <c r="I14" s="43">
        <f t="shared" si="19"/>
        <v>17.81000000000002</v>
      </c>
      <c r="J14" s="44">
        <f t="shared" si="19"/>
        <v>17.81000000000002</v>
      </c>
      <c r="K14" s="53"/>
      <c r="L14" s="6"/>
      <c r="M14" s="26" t="s">
        <v>34</v>
      </c>
      <c r="N14" s="34">
        <f>[3]EPPC!N21</f>
        <v>0</v>
      </c>
      <c r="O14" s="39"/>
      <c r="P14" s="39"/>
      <c r="Q14" s="39"/>
      <c r="R14" s="39">
        <v>0</v>
      </c>
      <c r="S14" s="39"/>
      <c r="T14" s="39"/>
      <c r="U14" s="39"/>
      <c r="V14" s="29">
        <f t="shared" si="3"/>
        <v>0</v>
      </c>
      <c r="X14" s="1" t="s">
        <v>30</v>
      </c>
      <c r="Y14" s="1">
        <f>[3]Summary!D4</f>
        <v>16</v>
      </c>
      <c r="Z14" s="43">
        <f t="shared" ref="Z14:AF14" si="20">Z11+Z12-Z13</f>
        <v>-38.34999999999998</v>
      </c>
      <c r="AA14" s="43">
        <f t="shared" si="20"/>
        <v>-141.30999999999997</v>
      </c>
      <c r="AB14" s="43">
        <f t="shared" si="20"/>
        <v>-141.30999999999997</v>
      </c>
      <c r="AC14" s="43">
        <f t="shared" si="20"/>
        <v>-141.30999999999997</v>
      </c>
      <c r="AD14" s="44">
        <f t="shared" si="20"/>
        <v>-141.30999999999997</v>
      </c>
      <c r="AE14" s="43">
        <f t="shared" si="20"/>
        <v>-141.30999999999997</v>
      </c>
      <c r="AF14" s="44">
        <f t="shared" si="20"/>
        <v>-141.30999999999997</v>
      </c>
    </row>
    <row r="15" spans="1:32" s="46" customFormat="1" x14ac:dyDescent="0.25">
      <c r="B15" s="47"/>
      <c r="C15" s="48" t="s">
        <v>28</v>
      </c>
      <c r="D15" s="49">
        <f>O7</f>
        <v>0</v>
      </c>
      <c r="E15" s="49">
        <f t="shared" ref="E15:J15" si="21">P7</f>
        <v>0</v>
      </c>
      <c r="F15" s="49">
        <f t="shared" si="21"/>
        <v>10</v>
      </c>
      <c r="G15" s="49">
        <f t="shared" si="21"/>
        <v>0</v>
      </c>
      <c r="H15" s="49">
        <f t="shared" si="21"/>
        <v>0</v>
      </c>
      <c r="I15" s="49">
        <f t="shared" si="21"/>
        <v>0</v>
      </c>
      <c r="J15" s="49">
        <f t="shared" si="21"/>
        <v>0</v>
      </c>
      <c r="K15" s="50"/>
      <c r="L15" s="51"/>
      <c r="M15" s="54" t="s">
        <v>35</v>
      </c>
      <c r="N15" s="34">
        <f>[3]EPPC!N22</f>
        <v>0</v>
      </c>
      <c r="O15" s="39">
        <f t="shared" ref="O15:U15" si="22">D55</f>
        <v>0</v>
      </c>
      <c r="P15" s="39">
        <f t="shared" si="22"/>
        <v>0</v>
      </c>
      <c r="Q15" s="39">
        <f t="shared" si="22"/>
        <v>0</v>
      </c>
      <c r="R15" s="39">
        <f t="shared" si="22"/>
        <v>0</v>
      </c>
      <c r="S15" s="39">
        <f t="shared" si="22"/>
        <v>0</v>
      </c>
      <c r="T15" s="39">
        <f t="shared" si="22"/>
        <v>0</v>
      </c>
      <c r="U15" s="39">
        <f t="shared" si="22"/>
        <v>0</v>
      </c>
      <c r="V15" s="29">
        <f t="shared" si="3"/>
        <v>0</v>
      </c>
      <c r="Z15" s="49">
        <v>0</v>
      </c>
      <c r="AA15" s="49">
        <v>0</v>
      </c>
      <c r="AB15" s="49">
        <v>0</v>
      </c>
      <c r="AC15" s="49">
        <v>0</v>
      </c>
      <c r="AD15" s="49">
        <v>0</v>
      </c>
      <c r="AE15" s="49">
        <v>0</v>
      </c>
      <c r="AF15" s="49">
        <v>0</v>
      </c>
    </row>
    <row r="16" spans="1:32" x14ac:dyDescent="0.25">
      <c r="A16" s="52"/>
      <c r="B16" s="22" t="s">
        <v>36</v>
      </c>
      <c r="C16" s="23" t="s">
        <v>20</v>
      </c>
      <c r="D16" s="55"/>
      <c r="E16" s="24">
        <f t="shared" ref="E16:J16" si="23">D19</f>
        <v>0</v>
      </c>
      <c r="F16" s="25">
        <f t="shared" si="23"/>
        <v>0</v>
      </c>
      <c r="G16" s="25">
        <f t="shared" si="23"/>
        <v>0</v>
      </c>
      <c r="H16" s="25">
        <f t="shared" si="23"/>
        <v>0</v>
      </c>
      <c r="I16" s="25">
        <f t="shared" si="23"/>
        <v>0</v>
      </c>
      <c r="J16" s="25">
        <f t="shared" si="23"/>
        <v>0</v>
      </c>
      <c r="K16" s="45"/>
      <c r="M16" s="56" t="s">
        <v>37</v>
      </c>
      <c r="N16" s="34">
        <f>[3]EPPC!N24</f>
        <v>7</v>
      </c>
      <c r="O16" s="39">
        <f t="shared" ref="O16:U16" si="24">D65</f>
        <v>0</v>
      </c>
      <c r="P16" s="39">
        <f t="shared" si="24"/>
        <v>6</v>
      </c>
      <c r="Q16" s="39">
        <f>F65</f>
        <v>0</v>
      </c>
      <c r="R16" s="39">
        <f t="shared" si="24"/>
        <v>0</v>
      </c>
      <c r="S16" s="39">
        <f>H65</f>
        <v>6</v>
      </c>
      <c r="T16" s="39">
        <f t="shared" si="24"/>
        <v>0</v>
      </c>
      <c r="U16" s="39">
        <f t="shared" si="24"/>
        <v>0</v>
      </c>
      <c r="V16" s="29">
        <f t="shared" ref="V16:V25" si="25">SUM(O16:U16)</f>
        <v>12</v>
      </c>
      <c r="Z16" s="55"/>
      <c r="AA16" s="24">
        <f t="shared" ref="AA16:AF16" si="26">Z19</f>
        <v>0</v>
      </c>
      <c r="AB16" s="25">
        <f t="shared" si="26"/>
        <v>0</v>
      </c>
      <c r="AC16" s="25">
        <f t="shared" si="26"/>
        <v>0</v>
      </c>
      <c r="AD16" s="25">
        <f t="shared" si="26"/>
        <v>0</v>
      </c>
      <c r="AE16" s="25">
        <f t="shared" si="26"/>
        <v>0</v>
      </c>
      <c r="AF16" s="25">
        <f t="shared" si="26"/>
        <v>0</v>
      </c>
    </row>
    <row r="17" spans="1:32" x14ac:dyDescent="0.25">
      <c r="A17" s="52"/>
      <c r="B17" s="30">
        <f>[3]EPPC!$N$13</f>
        <v>0</v>
      </c>
      <c r="C17" s="31" t="s">
        <v>21</v>
      </c>
      <c r="D17" s="32">
        <f t="shared" ref="D17:J17" si="27">$K$17*D20</f>
        <v>0</v>
      </c>
      <c r="E17" s="32">
        <f t="shared" si="27"/>
        <v>0</v>
      </c>
      <c r="F17" s="32">
        <f t="shared" si="27"/>
        <v>0</v>
      </c>
      <c r="G17" s="32">
        <f t="shared" si="27"/>
        <v>0</v>
      </c>
      <c r="H17" s="32">
        <f t="shared" si="27"/>
        <v>0</v>
      </c>
      <c r="I17" s="32">
        <f t="shared" si="27"/>
        <v>0</v>
      </c>
      <c r="J17" s="32">
        <f t="shared" si="27"/>
        <v>0</v>
      </c>
      <c r="K17" s="33">
        <v>16</v>
      </c>
      <c r="L17" s="6">
        <f>SUM(D17:J17)/K17</f>
        <v>0</v>
      </c>
      <c r="M17" s="54" t="s">
        <v>38</v>
      </c>
      <c r="N17" s="34">
        <f>[3]EPPC!N25</f>
        <v>0</v>
      </c>
      <c r="O17" s="39">
        <f>D50</f>
        <v>0</v>
      </c>
      <c r="P17" s="39">
        <f t="shared" ref="P17:U17" si="28">E50</f>
        <v>0</v>
      </c>
      <c r="Q17" s="39">
        <f t="shared" si="28"/>
        <v>0</v>
      </c>
      <c r="R17" s="39">
        <f t="shared" si="28"/>
        <v>0</v>
      </c>
      <c r="S17" s="39">
        <f t="shared" si="28"/>
        <v>0</v>
      </c>
      <c r="T17" s="39">
        <f t="shared" si="28"/>
        <v>0</v>
      </c>
      <c r="U17" s="39">
        <f t="shared" si="28"/>
        <v>0</v>
      </c>
      <c r="V17" s="29">
        <f t="shared" si="25"/>
        <v>0</v>
      </c>
      <c r="Z17" s="32">
        <f t="shared" ref="Z17:AF17" si="29">$K$17*Z20</f>
        <v>0</v>
      </c>
      <c r="AA17" s="32">
        <f t="shared" si="29"/>
        <v>0</v>
      </c>
      <c r="AB17" s="32">
        <f t="shared" si="29"/>
        <v>0</v>
      </c>
      <c r="AC17" s="32">
        <f t="shared" si="29"/>
        <v>0</v>
      </c>
      <c r="AD17" s="32">
        <f t="shared" si="29"/>
        <v>0</v>
      </c>
      <c r="AE17" s="32">
        <f t="shared" si="29"/>
        <v>0</v>
      </c>
      <c r="AF17" s="32">
        <f t="shared" si="29"/>
        <v>0</v>
      </c>
    </row>
    <row r="18" spans="1:32" x14ac:dyDescent="0.25">
      <c r="A18" s="52"/>
      <c r="B18" s="35">
        <f>SUM(D18:J18)</f>
        <v>0</v>
      </c>
      <c r="C18" s="36" t="s">
        <v>39</v>
      </c>
      <c r="D18" s="37">
        <f>$B19/7</f>
        <v>0</v>
      </c>
      <c r="E18" s="37">
        <f t="shared" ref="E18:J18" si="30">D18</f>
        <v>0</v>
      </c>
      <c r="F18" s="37">
        <f t="shared" si="30"/>
        <v>0</v>
      </c>
      <c r="G18" s="37">
        <f t="shared" si="30"/>
        <v>0</v>
      </c>
      <c r="H18" s="37">
        <f t="shared" si="30"/>
        <v>0</v>
      </c>
      <c r="I18" s="37">
        <f t="shared" si="30"/>
        <v>0</v>
      </c>
      <c r="J18" s="37">
        <f t="shared" si="30"/>
        <v>0</v>
      </c>
      <c r="K18" s="38"/>
      <c r="M18" s="54" t="s">
        <v>40</v>
      </c>
      <c r="N18" s="34">
        <f>[3]EPPC!N23</f>
        <v>0</v>
      </c>
      <c r="O18" s="39">
        <f>D60</f>
        <v>0</v>
      </c>
      <c r="P18" s="39">
        <f t="shared" ref="P18:U18" si="31">E60</f>
        <v>0</v>
      </c>
      <c r="Q18" s="39">
        <f t="shared" si="31"/>
        <v>0</v>
      </c>
      <c r="R18" s="39">
        <f t="shared" si="31"/>
        <v>0</v>
      </c>
      <c r="S18" s="39">
        <f t="shared" si="31"/>
        <v>0</v>
      </c>
      <c r="T18" s="39">
        <f t="shared" si="31"/>
        <v>0</v>
      </c>
      <c r="U18" s="39">
        <f t="shared" si="31"/>
        <v>0</v>
      </c>
      <c r="V18" s="29">
        <f t="shared" si="25"/>
        <v>0</v>
      </c>
      <c r="W18" s="1" t="s">
        <v>41</v>
      </c>
      <c r="Z18" s="37">
        <f>$B19/7</f>
        <v>0</v>
      </c>
      <c r="AA18" s="37">
        <f t="shared" ref="AA18:AF18" si="32">Z18</f>
        <v>0</v>
      </c>
      <c r="AB18" s="37">
        <f t="shared" si="32"/>
        <v>0</v>
      </c>
      <c r="AC18" s="37">
        <f t="shared" si="32"/>
        <v>0</v>
      </c>
      <c r="AD18" s="37">
        <f t="shared" si="32"/>
        <v>0</v>
      </c>
      <c r="AE18" s="37">
        <f t="shared" si="32"/>
        <v>0</v>
      </c>
      <c r="AF18" s="37">
        <f t="shared" si="32"/>
        <v>0</v>
      </c>
    </row>
    <row r="19" spans="1:32" x14ac:dyDescent="0.25">
      <c r="A19" s="52"/>
      <c r="B19" s="57"/>
      <c r="C19" s="42" t="s">
        <v>26</v>
      </c>
      <c r="D19" s="43">
        <f t="shared" ref="D19:J19" si="33">D16+D17-D18</f>
        <v>0</v>
      </c>
      <c r="E19" s="43">
        <f t="shared" si="33"/>
        <v>0</v>
      </c>
      <c r="F19" s="43">
        <f t="shared" si="33"/>
        <v>0</v>
      </c>
      <c r="G19" s="43">
        <f t="shared" si="33"/>
        <v>0</v>
      </c>
      <c r="H19" s="44">
        <f t="shared" si="33"/>
        <v>0</v>
      </c>
      <c r="I19" s="43">
        <f t="shared" si="33"/>
        <v>0</v>
      </c>
      <c r="J19" s="44">
        <f t="shared" si="33"/>
        <v>0</v>
      </c>
      <c r="K19" s="45"/>
      <c r="M19" s="54" t="s">
        <v>42</v>
      </c>
      <c r="N19" s="34">
        <f>[3]EPPC!N26</f>
        <v>1</v>
      </c>
      <c r="O19" s="39">
        <f>D75</f>
        <v>0</v>
      </c>
      <c r="P19" s="39">
        <f t="shared" ref="P19:U19" si="34">E75</f>
        <v>0</v>
      </c>
      <c r="Q19" s="39">
        <f t="shared" si="34"/>
        <v>0</v>
      </c>
      <c r="R19" s="39">
        <f t="shared" si="34"/>
        <v>0</v>
      </c>
      <c r="S19" s="39">
        <f t="shared" si="34"/>
        <v>0</v>
      </c>
      <c r="T19" s="39">
        <f t="shared" si="34"/>
        <v>0</v>
      </c>
      <c r="U19" s="39">
        <f t="shared" si="34"/>
        <v>0</v>
      </c>
      <c r="V19" s="29">
        <f t="shared" si="25"/>
        <v>0</v>
      </c>
      <c r="Z19" s="43">
        <f t="shared" ref="Z19:AF19" si="35">Z16+Z17-Z18</f>
        <v>0</v>
      </c>
      <c r="AA19" s="43">
        <f t="shared" si="35"/>
        <v>0</v>
      </c>
      <c r="AB19" s="43">
        <f t="shared" si="35"/>
        <v>0</v>
      </c>
      <c r="AC19" s="43">
        <f t="shared" si="35"/>
        <v>0</v>
      </c>
      <c r="AD19" s="44">
        <f t="shared" si="35"/>
        <v>0</v>
      </c>
      <c r="AE19" s="43">
        <f t="shared" si="35"/>
        <v>0</v>
      </c>
      <c r="AF19" s="44">
        <f t="shared" si="35"/>
        <v>0</v>
      </c>
    </row>
    <row r="20" spans="1:32" s="46" customFormat="1" x14ac:dyDescent="0.25">
      <c r="A20" s="51"/>
      <c r="B20" s="58"/>
      <c r="C20" s="58"/>
      <c r="D20" s="59">
        <v>0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0"/>
      <c r="L20" s="51"/>
      <c r="M20" s="56" t="s">
        <v>43</v>
      </c>
      <c r="N20" s="34">
        <f>[3]EPPC!N27</f>
        <v>0</v>
      </c>
      <c r="O20" s="39">
        <f>D80</f>
        <v>0</v>
      </c>
      <c r="P20" s="39">
        <f t="shared" ref="P20:U20" si="36">E80</f>
        <v>0</v>
      </c>
      <c r="Q20" s="39">
        <f t="shared" si="36"/>
        <v>0</v>
      </c>
      <c r="R20" s="39">
        <f t="shared" si="36"/>
        <v>0</v>
      </c>
      <c r="S20" s="39">
        <f t="shared" si="36"/>
        <v>0</v>
      </c>
      <c r="T20" s="39">
        <f t="shared" si="36"/>
        <v>4</v>
      </c>
      <c r="U20" s="39">
        <f t="shared" si="36"/>
        <v>0</v>
      </c>
      <c r="V20" s="29">
        <f t="shared" si="25"/>
        <v>4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</row>
    <row r="21" spans="1:32" x14ac:dyDescent="0.25">
      <c r="A21" s="52"/>
      <c r="B21" s="22" t="s">
        <v>24</v>
      </c>
      <c r="C21" s="23" t="s">
        <v>20</v>
      </c>
      <c r="D21" s="24">
        <f>[3]EPPC!I16/1000</f>
        <v>81.9364767</v>
      </c>
      <c r="E21" s="24">
        <f t="shared" ref="E21:J21" si="37">D24</f>
        <v>149.92891840571428</v>
      </c>
      <c r="F21" s="25">
        <f>E24</f>
        <v>153.92136011142856</v>
      </c>
      <c r="G21" s="25">
        <f t="shared" si="37"/>
        <v>157.91380181714283</v>
      </c>
      <c r="H21" s="25">
        <f t="shared" si="37"/>
        <v>209.9062435228571</v>
      </c>
      <c r="I21" s="25">
        <f t="shared" si="37"/>
        <v>213.89868522857137</v>
      </c>
      <c r="J21" s="25">
        <f t="shared" si="37"/>
        <v>217.89112693428564</v>
      </c>
      <c r="K21" s="45"/>
      <c r="M21" s="56" t="s">
        <v>44</v>
      </c>
      <c r="N21" s="34">
        <f>[3]EPPC!N28</f>
        <v>0</v>
      </c>
      <c r="O21" s="39"/>
      <c r="P21" s="39"/>
      <c r="Q21" s="39"/>
      <c r="R21" s="39"/>
      <c r="S21" s="39"/>
      <c r="T21" s="39"/>
      <c r="U21" s="39"/>
      <c r="V21" s="29">
        <f t="shared" si="25"/>
        <v>0</v>
      </c>
      <c r="Y21" s="1" t="str">
        <f>M8</f>
        <v>D0A1S</v>
      </c>
      <c r="Z21" s="24">
        <f>J24</f>
        <v>205.88356863999991</v>
      </c>
      <c r="AA21" s="24">
        <f t="shared" ref="AA21:AF21" si="38">Z24</f>
        <v>163.4302064799999</v>
      </c>
      <c r="AB21" s="25">
        <f t="shared" si="38"/>
        <v>168.97684431999988</v>
      </c>
      <c r="AC21" s="25">
        <f t="shared" si="38"/>
        <v>126.52348215999987</v>
      </c>
      <c r="AD21" s="25">
        <f t="shared" si="38"/>
        <v>126.52348215999987</v>
      </c>
      <c r="AE21" s="25">
        <f t="shared" si="38"/>
        <v>126.52348215999987</v>
      </c>
      <c r="AF21" s="25">
        <f t="shared" si="38"/>
        <v>126.52348215999987</v>
      </c>
    </row>
    <row r="22" spans="1:32" s="60" customFormat="1" x14ac:dyDescent="0.25">
      <c r="A22" s="1"/>
      <c r="B22" s="30">
        <f>[3]EPPC!N12</f>
        <v>4</v>
      </c>
      <c r="C22" s="31" t="s">
        <v>21</v>
      </c>
      <c r="D22" s="32">
        <f>$K$22*D25</f>
        <v>80</v>
      </c>
      <c r="E22" s="32">
        <f>($K$22*E25)</f>
        <v>16</v>
      </c>
      <c r="F22" s="32">
        <f>($K$22*F25)</f>
        <v>16</v>
      </c>
      <c r="G22" s="32">
        <f>$K$22*G25</f>
        <v>64</v>
      </c>
      <c r="H22" s="32">
        <f>$K$22*H25</f>
        <v>16</v>
      </c>
      <c r="I22" s="32">
        <f>$K$22*I25</f>
        <v>16</v>
      </c>
      <c r="J22" s="32">
        <f>$K$22*J25</f>
        <v>0</v>
      </c>
      <c r="K22" s="33">
        <v>16</v>
      </c>
      <c r="L22" s="6">
        <f>SUM(D22:J22)/K22</f>
        <v>13</v>
      </c>
      <c r="M22" s="26" t="s">
        <v>45</v>
      </c>
      <c r="N22" s="34">
        <f>[3]EPPC!N29</f>
        <v>0</v>
      </c>
      <c r="O22" s="39">
        <f t="shared" ref="O22:U22" si="39">D90</f>
        <v>0</v>
      </c>
      <c r="P22" s="39">
        <f t="shared" si="39"/>
        <v>8</v>
      </c>
      <c r="Q22" s="39">
        <f t="shared" si="39"/>
        <v>0</v>
      </c>
      <c r="R22" s="39">
        <f t="shared" si="39"/>
        <v>3</v>
      </c>
      <c r="S22" s="39">
        <f t="shared" si="39"/>
        <v>0</v>
      </c>
      <c r="T22" s="39">
        <f t="shared" si="39"/>
        <v>0</v>
      </c>
      <c r="U22" s="39">
        <f t="shared" si="39"/>
        <v>0</v>
      </c>
      <c r="V22" s="29">
        <f t="shared" si="25"/>
        <v>11</v>
      </c>
      <c r="Z22" s="32">
        <f>$K$22*Z25</f>
        <v>0</v>
      </c>
      <c r="AA22" s="32">
        <f>($K$22*AA25)</f>
        <v>48</v>
      </c>
      <c r="AB22" s="32">
        <f>($K$22*AB25)</f>
        <v>0</v>
      </c>
      <c r="AC22" s="32">
        <f>$K$22*AC25</f>
        <v>0</v>
      </c>
      <c r="AD22" s="32">
        <f>$K$22*AD25</f>
        <v>0</v>
      </c>
      <c r="AE22" s="32">
        <f>$K$22*AE25</f>
        <v>0</v>
      </c>
      <c r="AF22" s="32">
        <f>$K$22*AF25</f>
        <v>0</v>
      </c>
    </row>
    <row r="23" spans="1:32" x14ac:dyDescent="0.25">
      <c r="B23" s="35">
        <f>SUM(D23:J23)</f>
        <v>84.052908060000021</v>
      </c>
      <c r="C23" s="36" t="s">
        <v>23</v>
      </c>
      <c r="D23" s="37">
        <f>$B24/7</f>
        <v>12.007558294285717</v>
      </c>
      <c r="E23" s="37">
        <f t="shared" ref="E23:J23" si="40">D23</f>
        <v>12.007558294285717</v>
      </c>
      <c r="F23" s="37">
        <f t="shared" si="40"/>
        <v>12.007558294285717</v>
      </c>
      <c r="G23" s="37">
        <f t="shared" si="40"/>
        <v>12.007558294285717</v>
      </c>
      <c r="H23" s="37">
        <f t="shared" si="40"/>
        <v>12.007558294285717</v>
      </c>
      <c r="I23" s="37">
        <f t="shared" si="40"/>
        <v>12.007558294285717</v>
      </c>
      <c r="J23" s="37">
        <f t="shared" si="40"/>
        <v>12.007558294285717</v>
      </c>
      <c r="K23" s="38"/>
      <c r="M23" s="26" t="s">
        <v>46</v>
      </c>
      <c r="N23" s="34">
        <f>[3]EPPC!N30</f>
        <v>0</v>
      </c>
      <c r="O23" s="39">
        <f>D70</f>
        <v>0</v>
      </c>
      <c r="P23" s="39">
        <f t="shared" ref="P23:U23" si="41">E70</f>
        <v>0</v>
      </c>
      <c r="Q23" s="39">
        <f t="shared" si="41"/>
        <v>0</v>
      </c>
      <c r="R23" s="39">
        <f t="shared" si="41"/>
        <v>0</v>
      </c>
      <c r="S23" s="39">
        <f t="shared" si="41"/>
        <v>0</v>
      </c>
      <c r="T23" s="39">
        <f t="shared" si="41"/>
        <v>0</v>
      </c>
      <c r="U23" s="39">
        <f t="shared" si="41"/>
        <v>0</v>
      </c>
      <c r="V23" s="29">
        <f t="shared" si="25"/>
        <v>0</v>
      </c>
      <c r="X23" s="7" t="s">
        <v>25</v>
      </c>
      <c r="Y23" s="40">
        <f>[3]PPLAN!CE11/1000</f>
        <v>127.36008648000002</v>
      </c>
      <c r="Z23" s="37">
        <f>$Y$23/3</f>
        <v>42.453362160000005</v>
      </c>
      <c r="AA23" s="37">
        <f>$Y$23/3</f>
        <v>42.453362160000005</v>
      </c>
      <c r="AB23" s="37">
        <f>$Y$23/3</f>
        <v>42.453362160000005</v>
      </c>
      <c r="AC23" s="37"/>
      <c r="AD23" s="37"/>
      <c r="AE23" s="37"/>
      <c r="AF23" s="37"/>
    </row>
    <row r="24" spans="1:32" x14ac:dyDescent="0.25">
      <c r="A24" s="7"/>
      <c r="B24" s="41">
        <f>[3]EPPC!$J$16/1000</f>
        <v>84.052908060000021</v>
      </c>
      <c r="C24" s="42" t="s">
        <v>26</v>
      </c>
      <c r="D24" s="43">
        <f t="shared" ref="D24:J24" si="42">D21+D22-D23</f>
        <v>149.92891840571428</v>
      </c>
      <c r="E24" s="43">
        <f t="shared" si="42"/>
        <v>153.92136011142856</v>
      </c>
      <c r="F24" s="43">
        <f t="shared" si="42"/>
        <v>157.91380181714283</v>
      </c>
      <c r="G24" s="43">
        <f t="shared" si="42"/>
        <v>209.9062435228571</v>
      </c>
      <c r="H24" s="44">
        <f t="shared" si="42"/>
        <v>213.89868522857137</v>
      </c>
      <c r="I24" s="43">
        <f t="shared" si="42"/>
        <v>217.89112693428564</v>
      </c>
      <c r="J24" s="44">
        <f t="shared" si="42"/>
        <v>205.88356863999991</v>
      </c>
      <c r="K24" s="53"/>
      <c r="M24" s="26" t="s">
        <v>47</v>
      </c>
      <c r="N24" s="34">
        <f>[3]EPPC!N31</f>
        <v>0</v>
      </c>
      <c r="O24" s="39"/>
      <c r="P24" s="39"/>
      <c r="Q24" s="39"/>
      <c r="R24" s="39"/>
      <c r="S24" s="39"/>
      <c r="T24" s="39"/>
      <c r="U24" s="39"/>
      <c r="V24" s="29">
        <f t="shared" si="25"/>
        <v>0</v>
      </c>
      <c r="X24" s="1" t="s">
        <v>30</v>
      </c>
      <c r="Y24" s="1">
        <f>[3]Summary!D6</f>
        <v>7</v>
      </c>
      <c r="Z24" s="43">
        <f t="shared" ref="Z24:AF24" si="43">Z21+Z22-Z23</f>
        <v>163.4302064799999</v>
      </c>
      <c r="AA24" s="43">
        <f t="shared" si="43"/>
        <v>168.97684431999988</v>
      </c>
      <c r="AB24" s="43">
        <f t="shared" si="43"/>
        <v>126.52348215999987</v>
      </c>
      <c r="AC24" s="43">
        <f t="shared" si="43"/>
        <v>126.52348215999987</v>
      </c>
      <c r="AD24" s="44">
        <f t="shared" si="43"/>
        <v>126.52348215999987</v>
      </c>
      <c r="AE24" s="43">
        <f t="shared" si="43"/>
        <v>126.52348215999987</v>
      </c>
      <c r="AF24" s="44">
        <f t="shared" si="43"/>
        <v>126.52348215999987</v>
      </c>
    </row>
    <row r="25" spans="1:32" s="46" customFormat="1" x14ac:dyDescent="0.25">
      <c r="B25" s="58"/>
      <c r="C25" s="58"/>
      <c r="D25" s="59">
        <v>5</v>
      </c>
      <c r="E25" s="59">
        <v>1</v>
      </c>
      <c r="F25" s="59">
        <v>1</v>
      </c>
      <c r="G25" s="59">
        <v>4</v>
      </c>
      <c r="H25" s="59">
        <v>1</v>
      </c>
      <c r="I25" s="59">
        <v>1</v>
      </c>
      <c r="J25" s="59">
        <v>0</v>
      </c>
      <c r="K25" s="59"/>
      <c r="L25" s="51"/>
      <c r="M25" s="26" t="s">
        <v>48</v>
      </c>
      <c r="N25" s="34"/>
      <c r="O25" s="39"/>
      <c r="P25" s="61"/>
      <c r="Q25" s="39"/>
      <c r="R25" s="39"/>
      <c r="S25" s="39"/>
      <c r="T25" s="39"/>
      <c r="U25" s="39"/>
      <c r="V25" s="29">
        <f t="shared" si="25"/>
        <v>0</v>
      </c>
      <c r="Z25" s="59">
        <v>0</v>
      </c>
      <c r="AA25" s="59">
        <v>3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</row>
    <row r="26" spans="1:32" s="7" customFormat="1" x14ac:dyDescent="0.25">
      <c r="B26" s="22" t="s">
        <v>29</v>
      </c>
      <c r="C26" s="23" t="s">
        <v>20</v>
      </c>
      <c r="D26" s="62">
        <f>[3]EPPC!$I$17/1000</f>
        <v>22.617999999999999</v>
      </c>
      <c r="E26" s="24">
        <f t="shared" ref="E26:J26" si="44">D29</f>
        <v>21.546139737828568</v>
      </c>
      <c r="F26" s="25">
        <f t="shared" si="44"/>
        <v>20.474279475657141</v>
      </c>
      <c r="G26" s="25">
        <f t="shared" si="44"/>
        <v>19.402419213485715</v>
      </c>
      <c r="H26" s="25">
        <f t="shared" si="44"/>
        <v>18.330558951314288</v>
      </c>
      <c r="I26" s="25">
        <f t="shared" si="44"/>
        <v>17.258698689142861</v>
      </c>
      <c r="J26" s="25">
        <f t="shared" si="44"/>
        <v>16.186838426971434</v>
      </c>
      <c r="K26" s="45"/>
      <c r="L26" s="6"/>
      <c r="M26" s="63" t="s">
        <v>49</v>
      </c>
      <c r="N26" s="64">
        <f>SUM(N6:N25)</f>
        <v>64</v>
      </c>
      <c r="O26" s="64">
        <f t="shared" ref="O26:S26" si="45">SUM(O6:O25)</f>
        <v>6</v>
      </c>
      <c r="P26" s="64">
        <f t="shared" si="45"/>
        <v>16</v>
      </c>
      <c r="Q26" s="64">
        <f t="shared" si="45"/>
        <v>16</v>
      </c>
      <c r="R26" s="64">
        <f t="shared" si="45"/>
        <v>16</v>
      </c>
      <c r="S26" s="64">
        <f t="shared" si="45"/>
        <v>14</v>
      </c>
      <c r="T26" s="64">
        <f>SUM(T6:T25)</f>
        <v>16</v>
      </c>
      <c r="U26" s="64">
        <f>SUM(U6:U25)</f>
        <v>16</v>
      </c>
      <c r="V26" s="64">
        <f>SUM(V6:V25)</f>
        <v>100</v>
      </c>
      <c r="Z26" s="24">
        <f>J29</f>
        <v>15.114978164800005</v>
      </c>
      <c r="AA26" s="24">
        <f t="shared" ref="AA26:AF26" si="46">Z29</f>
        <v>14.043117902628577</v>
      </c>
      <c r="AB26" s="25">
        <f t="shared" si="46"/>
        <v>12.971257640457148</v>
      </c>
      <c r="AC26" s="25">
        <f t="shared" si="46"/>
        <v>11.89939737828572</v>
      </c>
      <c r="AD26" s="25">
        <f t="shared" si="46"/>
        <v>10.827537116114291</v>
      </c>
      <c r="AE26" s="25">
        <f t="shared" si="46"/>
        <v>9.7556768539428624</v>
      </c>
      <c r="AF26" s="25">
        <f t="shared" si="46"/>
        <v>8.6838165917714338</v>
      </c>
    </row>
    <row r="27" spans="1:32" s="7" customFormat="1" x14ac:dyDescent="0.25">
      <c r="A27" s="1"/>
      <c r="B27" s="30">
        <f>[3]EPPC!$N$17</f>
        <v>0</v>
      </c>
      <c r="C27" s="31" t="s">
        <v>21</v>
      </c>
      <c r="D27" s="32">
        <f>$K$27*D30</f>
        <v>0</v>
      </c>
      <c r="E27" s="32">
        <f t="shared" ref="E27:J27" si="47">$K$27*E30</f>
        <v>0</v>
      </c>
      <c r="F27" s="32">
        <f t="shared" si="47"/>
        <v>0</v>
      </c>
      <c r="G27" s="32">
        <f t="shared" si="47"/>
        <v>0</v>
      </c>
      <c r="H27" s="32">
        <f t="shared" si="47"/>
        <v>0</v>
      </c>
      <c r="I27" s="32">
        <f t="shared" si="47"/>
        <v>0</v>
      </c>
      <c r="J27" s="32">
        <f t="shared" si="47"/>
        <v>0</v>
      </c>
      <c r="K27" s="33">
        <v>16</v>
      </c>
      <c r="L27" s="6">
        <f>SUM(D27:J27)/K27</f>
        <v>0</v>
      </c>
      <c r="M27" s="1"/>
      <c r="N27" s="65">
        <f>SUM(N8:N25)</f>
        <v>15</v>
      </c>
      <c r="O27" s="1"/>
      <c r="P27" s="1"/>
      <c r="Q27" s="1"/>
      <c r="R27" s="1"/>
      <c r="S27" s="1"/>
      <c r="T27" s="1"/>
      <c r="U27" s="1"/>
      <c r="V27" s="65">
        <f>SUM(V8:V25)</f>
        <v>48</v>
      </c>
      <c r="Z27" s="32">
        <f>$K$27*Z30</f>
        <v>0</v>
      </c>
      <c r="AA27" s="32">
        <f t="shared" ref="AA27:AF27" si="48">$K$27*AA30</f>
        <v>0</v>
      </c>
      <c r="AB27" s="32">
        <f t="shared" si="48"/>
        <v>0</v>
      </c>
      <c r="AC27" s="32">
        <f t="shared" si="48"/>
        <v>0</v>
      </c>
      <c r="AD27" s="32">
        <f t="shared" si="48"/>
        <v>0</v>
      </c>
      <c r="AE27" s="32">
        <f t="shared" si="48"/>
        <v>0</v>
      </c>
      <c r="AF27" s="32">
        <f t="shared" si="48"/>
        <v>0</v>
      </c>
    </row>
    <row r="28" spans="1:32" x14ac:dyDescent="0.25">
      <c r="A28" s="60"/>
      <c r="B28" s="35">
        <f>SUM(D28:J28)</f>
        <v>7.5030218352000002</v>
      </c>
      <c r="C28" s="36" t="s">
        <v>23</v>
      </c>
      <c r="D28" s="37">
        <f>$B29/7</f>
        <v>1.0718602621714286</v>
      </c>
      <c r="E28" s="37">
        <f t="shared" ref="E28:J28" si="49">D28</f>
        <v>1.0718602621714286</v>
      </c>
      <c r="F28" s="37">
        <f t="shared" si="49"/>
        <v>1.0718602621714286</v>
      </c>
      <c r="G28" s="37">
        <f t="shared" si="49"/>
        <v>1.0718602621714286</v>
      </c>
      <c r="H28" s="37">
        <f t="shared" si="49"/>
        <v>1.0718602621714286</v>
      </c>
      <c r="I28" s="37">
        <f t="shared" si="49"/>
        <v>1.0718602621714286</v>
      </c>
      <c r="J28" s="37">
        <f t="shared" si="49"/>
        <v>1.0718602621714286</v>
      </c>
      <c r="K28" s="38"/>
      <c r="N28" s="65">
        <f>N26</f>
        <v>64</v>
      </c>
      <c r="O28" s="66">
        <v>6</v>
      </c>
      <c r="P28" s="66">
        <v>16</v>
      </c>
      <c r="Q28" s="66">
        <v>16</v>
      </c>
      <c r="R28" s="66">
        <v>16</v>
      </c>
      <c r="S28" s="66">
        <v>14</v>
      </c>
      <c r="T28" s="66">
        <v>16</v>
      </c>
      <c r="U28" s="66">
        <v>16</v>
      </c>
      <c r="V28" s="65">
        <f>SUM(O28:U28)</f>
        <v>100</v>
      </c>
      <c r="Z28" s="37">
        <f>$B29/7</f>
        <v>1.0718602621714286</v>
      </c>
      <c r="AA28" s="37">
        <f t="shared" ref="AA28:AF28" si="50">Z28</f>
        <v>1.0718602621714286</v>
      </c>
      <c r="AB28" s="37">
        <f t="shared" si="50"/>
        <v>1.0718602621714286</v>
      </c>
      <c r="AC28" s="37">
        <f t="shared" si="50"/>
        <v>1.0718602621714286</v>
      </c>
      <c r="AD28" s="37">
        <f t="shared" si="50"/>
        <v>1.0718602621714286</v>
      </c>
      <c r="AE28" s="37">
        <f t="shared" si="50"/>
        <v>1.0718602621714286</v>
      </c>
      <c r="AF28" s="37">
        <f t="shared" si="50"/>
        <v>1.0718602621714286</v>
      </c>
    </row>
    <row r="29" spans="1:32" s="60" customFormat="1" x14ac:dyDescent="0.25">
      <c r="A29" s="1"/>
      <c r="B29" s="41">
        <f>[3]EPPC!$J$17/1000</f>
        <v>7.5030218352000002</v>
      </c>
      <c r="C29" s="42" t="s">
        <v>26</v>
      </c>
      <c r="D29" s="43">
        <f t="shared" ref="D29:J29" si="51">D26+D27-D28</f>
        <v>21.546139737828568</v>
      </c>
      <c r="E29" s="43">
        <f t="shared" si="51"/>
        <v>20.474279475657141</v>
      </c>
      <c r="F29" s="43">
        <f t="shared" si="51"/>
        <v>19.402419213485715</v>
      </c>
      <c r="G29" s="43">
        <f t="shared" si="51"/>
        <v>18.330558951314288</v>
      </c>
      <c r="H29" s="44">
        <f t="shared" si="51"/>
        <v>17.258698689142861</v>
      </c>
      <c r="I29" s="43">
        <f t="shared" si="51"/>
        <v>16.186838426971434</v>
      </c>
      <c r="J29" s="44">
        <f t="shared" si="51"/>
        <v>15.114978164800005</v>
      </c>
      <c r="K29" s="45"/>
      <c r="L29" s="6"/>
      <c r="M29" s="1"/>
      <c r="N29" s="1"/>
      <c r="O29" s="65">
        <f>O28-O26</f>
        <v>0</v>
      </c>
      <c r="P29" s="65">
        <f t="shared" ref="P29:U29" si="52">P28-P26</f>
        <v>0</v>
      </c>
      <c r="Q29" s="65">
        <f t="shared" si="52"/>
        <v>0</v>
      </c>
      <c r="R29" s="65">
        <f>R28-R26</f>
        <v>0</v>
      </c>
      <c r="S29" s="65">
        <f t="shared" si="52"/>
        <v>0</v>
      </c>
      <c r="T29" s="65">
        <f t="shared" si="52"/>
        <v>0</v>
      </c>
      <c r="U29" s="65">
        <f t="shared" si="52"/>
        <v>0</v>
      </c>
      <c r="V29" s="7"/>
      <c r="Z29" s="43">
        <f t="shared" ref="Z29:AF29" si="53">Z26+Z27-Z28</f>
        <v>14.043117902628577</v>
      </c>
      <c r="AA29" s="43">
        <f t="shared" si="53"/>
        <v>12.971257640457148</v>
      </c>
      <c r="AB29" s="43">
        <f t="shared" si="53"/>
        <v>11.89939737828572</v>
      </c>
      <c r="AC29" s="43">
        <f t="shared" si="53"/>
        <v>10.827537116114291</v>
      </c>
      <c r="AD29" s="44">
        <f t="shared" si="53"/>
        <v>9.7556768539428624</v>
      </c>
      <c r="AE29" s="43">
        <f t="shared" si="53"/>
        <v>8.6838165917714338</v>
      </c>
      <c r="AF29" s="44">
        <f t="shared" si="53"/>
        <v>7.6119563296000052</v>
      </c>
    </row>
    <row r="30" spans="1:32" s="46" customFormat="1" x14ac:dyDescent="0.25">
      <c r="B30" s="58"/>
      <c r="C30" s="58"/>
      <c r="D30" s="59">
        <v>0</v>
      </c>
      <c r="E30" s="59">
        <v>0</v>
      </c>
      <c r="F30" s="59">
        <v>0</v>
      </c>
      <c r="G30" s="59">
        <v>0</v>
      </c>
      <c r="H30" s="59">
        <v>0</v>
      </c>
      <c r="I30" s="59">
        <v>0</v>
      </c>
      <c r="J30" s="59">
        <v>0</v>
      </c>
      <c r="K30" s="50"/>
      <c r="L30" s="51"/>
      <c r="Z30" s="59">
        <v>0</v>
      </c>
      <c r="AA30" s="59">
        <v>0</v>
      </c>
      <c r="AB30" s="59">
        <v>0</v>
      </c>
      <c r="AC30" s="59">
        <v>0</v>
      </c>
      <c r="AD30" s="59">
        <v>0</v>
      </c>
      <c r="AE30" s="59">
        <v>0</v>
      </c>
      <c r="AF30" s="59">
        <v>0</v>
      </c>
    </row>
    <row r="31" spans="1:32" x14ac:dyDescent="0.25">
      <c r="A31" s="7"/>
      <c r="B31" s="22" t="s">
        <v>31</v>
      </c>
      <c r="C31" s="23" t="s">
        <v>20</v>
      </c>
      <c r="D31" s="62">
        <f>[3]EPPC!$I$18/1000</f>
        <v>0</v>
      </c>
      <c r="E31" s="24">
        <f t="shared" ref="E31:J31" si="54">D34</f>
        <v>0</v>
      </c>
      <c r="F31" s="25">
        <f t="shared" si="54"/>
        <v>0</v>
      </c>
      <c r="G31" s="25">
        <f t="shared" si="54"/>
        <v>0</v>
      </c>
      <c r="H31" s="25">
        <f t="shared" si="54"/>
        <v>0</v>
      </c>
      <c r="I31" s="25">
        <f>H34</f>
        <v>0</v>
      </c>
      <c r="J31" s="25">
        <f t="shared" si="54"/>
        <v>0</v>
      </c>
      <c r="K31" s="45"/>
      <c r="Z31" s="24">
        <f>J34</f>
        <v>0</v>
      </c>
      <c r="AA31" s="24">
        <f t="shared" ref="AA31:AF31" si="55">Z34</f>
        <v>0</v>
      </c>
      <c r="AB31" s="25">
        <f t="shared" si="55"/>
        <v>0</v>
      </c>
      <c r="AC31" s="25">
        <f t="shared" si="55"/>
        <v>0</v>
      </c>
      <c r="AD31" s="25">
        <f t="shared" si="55"/>
        <v>0</v>
      </c>
      <c r="AE31" s="25">
        <f t="shared" si="55"/>
        <v>0</v>
      </c>
      <c r="AF31" s="25">
        <f t="shared" si="55"/>
        <v>0</v>
      </c>
    </row>
    <row r="32" spans="1:32" s="7" customFormat="1" x14ac:dyDescent="0.25">
      <c r="B32" s="30">
        <f>[3]EPPC!$N$18</f>
        <v>0</v>
      </c>
      <c r="C32" s="31" t="s">
        <v>21</v>
      </c>
      <c r="D32" s="32">
        <f t="shared" ref="D32:J32" si="56">$K$32*D35</f>
        <v>0</v>
      </c>
      <c r="E32" s="32">
        <f t="shared" si="56"/>
        <v>0</v>
      </c>
      <c r="F32" s="32">
        <f t="shared" si="56"/>
        <v>0</v>
      </c>
      <c r="G32" s="32">
        <f t="shared" si="56"/>
        <v>0</v>
      </c>
      <c r="H32" s="32">
        <f t="shared" si="56"/>
        <v>0</v>
      </c>
      <c r="I32" s="32">
        <f t="shared" si="56"/>
        <v>0</v>
      </c>
      <c r="J32" s="32">
        <f t="shared" si="56"/>
        <v>0</v>
      </c>
      <c r="K32" s="33">
        <v>16</v>
      </c>
      <c r="L32" s="6">
        <f>SUM(D32:J32)/K32</f>
        <v>0</v>
      </c>
      <c r="M32" s="60"/>
      <c r="N32" s="60"/>
      <c r="O32" s="67"/>
      <c r="P32" s="67"/>
      <c r="Q32" s="67"/>
      <c r="R32" s="67"/>
      <c r="S32" s="67"/>
      <c r="T32" s="67"/>
      <c r="U32" s="67"/>
      <c r="V32" s="68"/>
      <c r="Z32" s="32">
        <f t="shared" ref="Z32:AF32" si="57">$K$32*Z35</f>
        <v>0</v>
      </c>
      <c r="AA32" s="32">
        <f t="shared" si="57"/>
        <v>0</v>
      </c>
      <c r="AB32" s="32">
        <f t="shared" si="57"/>
        <v>0</v>
      </c>
      <c r="AC32" s="32">
        <f t="shared" si="57"/>
        <v>0</v>
      </c>
      <c r="AD32" s="32">
        <f t="shared" si="57"/>
        <v>0</v>
      </c>
      <c r="AE32" s="32">
        <f t="shared" si="57"/>
        <v>0</v>
      </c>
      <c r="AF32" s="32">
        <f t="shared" si="57"/>
        <v>0</v>
      </c>
    </row>
    <row r="33" spans="1:32" s="7" customFormat="1" x14ac:dyDescent="0.25">
      <c r="A33" s="1"/>
      <c r="B33" s="35">
        <f>SUM(D33:J33)</f>
        <v>0</v>
      </c>
      <c r="C33" s="36" t="s">
        <v>23</v>
      </c>
      <c r="D33" s="37">
        <f>$B34/7</f>
        <v>0</v>
      </c>
      <c r="E33" s="37">
        <f t="shared" ref="E33:J33" si="58">D33</f>
        <v>0</v>
      </c>
      <c r="F33" s="37">
        <f t="shared" si="58"/>
        <v>0</v>
      </c>
      <c r="G33" s="37">
        <f t="shared" si="58"/>
        <v>0</v>
      </c>
      <c r="H33" s="37">
        <f t="shared" si="58"/>
        <v>0</v>
      </c>
      <c r="I33" s="37">
        <f t="shared" si="58"/>
        <v>0</v>
      </c>
      <c r="J33" s="37">
        <f t="shared" si="58"/>
        <v>0</v>
      </c>
      <c r="K33" s="38"/>
      <c r="L33" s="6"/>
      <c r="M33" s="1"/>
      <c r="N33" s="1"/>
      <c r="O33" s="1"/>
      <c r="P33" s="1"/>
      <c r="Q33" s="1"/>
      <c r="R33" s="1"/>
      <c r="S33" s="1"/>
      <c r="T33" s="1"/>
      <c r="U33" s="1"/>
      <c r="Z33" s="37">
        <f>$B34/7</f>
        <v>0</v>
      </c>
      <c r="AA33" s="37">
        <f t="shared" ref="AA33:AF33" si="59">Z33</f>
        <v>0</v>
      </c>
      <c r="AB33" s="37">
        <f t="shared" si="59"/>
        <v>0</v>
      </c>
      <c r="AC33" s="37">
        <f t="shared" si="59"/>
        <v>0</v>
      </c>
      <c r="AD33" s="37">
        <f t="shared" si="59"/>
        <v>0</v>
      </c>
      <c r="AE33" s="37">
        <f t="shared" si="59"/>
        <v>0</v>
      </c>
      <c r="AF33" s="37">
        <f t="shared" si="59"/>
        <v>0</v>
      </c>
    </row>
    <row r="34" spans="1:32" x14ac:dyDescent="0.25">
      <c r="A34" s="60"/>
      <c r="B34" s="41">
        <f>[3]EPPC!$J$18/1000</f>
        <v>0</v>
      </c>
      <c r="C34" s="42" t="s">
        <v>26</v>
      </c>
      <c r="D34" s="43">
        <f t="shared" ref="D34:J34" si="60">D31+D32-D33</f>
        <v>0</v>
      </c>
      <c r="E34" s="43">
        <f t="shared" si="60"/>
        <v>0</v>
      </c>
      <c r="F34" s="43">
        <f t="shared" si="60"/>
        <v>0</v>
      </c>
      <c r="G34" s="43">
        <f t="shared" si="60"/>
        <v>0</v>
      </c>
      <c r="H34" s="44">
        <f t="shared" si="60"/>
        <v>0</v>
      </c>
      <c r="I34" s="43">
        <f t="shared" si="60"/>
        <v>0</v>
      </c>
      <c r="J34" s="44">
        <f t="shared" si="60"/>
        <v>0</v>
      </c>
      <c r="K34" s="45"/>
      <c r="Z34" s="43">
        <f t="shared" ref="Z34:AF34" si="61">Z31+Z32-Z33</f>
        <v>0</v>
      </c>
      <c r="AA34" s="43">
        <f t="shared" si="61"/>
        <v>0</v>
      </c>
      <c r="AB34" s="43">
        <f t="shared" si="61"/>
        <v>0</v>
      </c>
      <c r="AC34" s="43">
        <f t="shared" si="61"/>
        <v>0</v>
      </c>
      <c r="AD34" s="44">
        <f t="shared" si="61"/>
        <v>0</v>
      </c>
      <c r="AE34" s="43">
        <f t="shared" si="61"/>
        <v>0</v>
      </c>
      <c r="AF34" s="44">
        <f t="shared" si="61"/>
        <v>0</v>
      </c>
    </row>
    <row r="35" spans="1:32" s="51" customFormat="1" x14ac:dyDescent="0.25">
      <c r="A35" s="46"/>
      <c r="B35" s="58"/>
      <c r="C35" s="58"/>
      <c r="D35" s="59">
        <v>0</v>
      </c>
      <c r="E35" s="59">
        <v>0</v>
      </c>
      <c r="F35" s="59">
        <v>0</v>
      </c>
      <c r="G35" s="59">
        <v>0</v>
      </c>
      <c r="H35" s="59">
        <v>0</v>
      </c>
      <c r="I35" s="59">
        <v>0</v>
      </c>
      <c r="J35" s="59">
        <v>0</v>
      </c>
      <c r="K35" s="50"/>
      <c r="M35" s="7"/>
      <c r="N35" s="7"/>
      <c r="O35" s="7"/>
      <c r="P35" s="7"/>
      <c r="Q35" s="7"/>
      <c r="R35" s="7"/>
      <c r="S35" s="7"/>
      <c r="T35" s="7"/>
      <c r="U35" s="7"/>
      <c r="V35" s="7"/>
      <c r="Z35" s="59">
        <v>0</v>
      </c>
      <c r="AA35" s="59">
        <v>0</v>
      </c>
      <c r="AB35" s="59">
        <v>0</v>
      </c>
      <c r="AC35" s="59">
        <v>0</v>
      </c>
      <c r="AD35" s="59">
        <v>0</v>
      </c>
      <c r="AE35" s="59">
        <v>0</v>
      </c>
      <c r="AF35" s="59">
        <v>0</v>
      </c>
    </row>
    <row r="36" spans="1:32" x14ac:dyDescent="0.25">
      <c r="B36" s="22" t="s">
        <v>32</v>
      </c>
      <c r="C36" s="23" t="s">
        <v>20</v>
      </c>
      <c r="D36" s="62">
        <f>[3]EPPC!$I$19/1000</f>
        <v>24.46</v>
      </c>
      <c r="E36" s="24">
        <f t="shared" ref="E36:J36" si="62">D39</f>
        <v>23.122857142857143</v>
      </c>
      <c r="F36" s="69">
        <f>E39</f>
        <v>21.785714285714285</v>
      </c>
      <c r="G36" s="25">
        <f t="shared" si="62"/>
        <v>54.448571428571427</v>
      </c>
      <c r="H36" s="25">
        <f t="shared" si="62"/>
        <v>53.111428571428569</v>
      </c>
      <c r="I36" s="25">
        <f t="shared" si="62"/>
        <v>51.77428571428571</v>
      </c>
      <c r="J36" s="25">
        <f t="shared" si="62"/>
        <v>50.437142857142852</v>
      </c>
      <c r="K36" s="45"/>
      <c r="Z36" s="62">
        <f>[3]EPPC!$I$19/1000</f>
        <v>24.46</v>
      </c>
      <c r="AA36" s="24">
        <f t="shared" ref="AA36:AF36" si="63">Z39</f>
        <v>24.46</v>
      </c>
      <c r="AB36" s="69">
        <f t="shared" si="63"/>
        <v>24.46</v>
      </c>
      <c r="AC36" s="25">
        <f t="shared" si="63"/>
        <v>24.46</v>
      </c>
      <c r="AD36" s="25">
        <f t="shared" si="63"/>
        <v>24.46</v>
      </c>
      <c r="AE36" s="25">
        <f t="shared" si="63"/>
        <v>24.46</v>
      </c>
      <c r="AF36" s="25">
        <f t="shared" si="63"/>
        <v>24.46</v>
      </c>
    </row>
    <row r="37" spans="1:32" x14ac:dyDescent="0.25">
      <c r="A37" s="7"/>
      <c r="B37" s="30">
        <f>[3]EPPC!$N$19</f>
        <v>0</v>
      </c>
      <c r="C37" s="31" t="s">
        <v>21</v>
      </c>
      <c r="D37" s="32">
        <f>$K$37*D40</f>
        <v>0</v>
      </c>
      <c r="E37" s="32">
        <f t="shared" ref="E37:J37" si="64">$K$37*E40</f>
        <v>0</v>
      </c>
      <c r="F37" s="32">
        <f t="shared" si="64"/>
        <v>34</v>
      </c>
      <c r="G37" s="32">
        <f t="shared" si="64"/>
        <v>0</v>
      </c>
      <c r="H37" s="32">
        <f t="shared" si="64"/>
        <v>0</v>
      </c>
      <c r="I37" s="32">
        <f t="shared" si="64"/>
        <v>0</v>
      </c>
      <c r="J37" s="32">
        <f t="shared" si="64"/>
        <v>0</v>
      </c>
      <c r="K37" s="33">
        <v>17</v>
      </c>
      <c r="L37" s="6">
        <f>SUM(D37:J37)/K37</f>
        <v>2</v>
      </c>
      <c r="Z37" s="32">
        <f>$K$37*Z40</f>
        <v>0</v>
      </c>
      <c r="AA37" s="32">
        <f t="shared" ref="AA37:AF37" si="65">$K$37*AA40</f>
        <v>0</v>
      </c>
      <c r="AB37" s="32">
        <f t="shared" si="65"/>
        <v>0</v>
      </c>
      <c r="AC37" s="32">
        <f t="shared" si="65"/>
        <v>0</v>
      </c>
      <c r="AD37" s="32">
        <f t="shared" si="65"/>
        <v>0</v>
      </c>
      <c r="AE37" s="32">
        <f t="shared" si="65"/>
        <v>0</v>
      </c>
      <c r="AF37" s="32">
        <f t="shared" si="65"/>
        <v>0</v>
      </c>
    </row>
    <row r="38" spans="1:32" s="7" customFormat="1" x14ac:dyDescent="0.25">
      <c r="B38" s="35">
        <f>SUM(D38:J38)</f>
        <v>9.3599999999999977</v>
      </c>
      <c r="C38" s="36" t="s">
        <v>23</v>
      </c>
      <c r="D38" s="37">
        <f>B39/7</f>
        <v>1.337142857142857</v>
      </c>
      <c r="E38" s="37">
        <f t="shared" ref="E38:J38" si="66">D38</f>
        <v>1.337142857142857</v>
      </c>
      <c r="F38" s="37">
        <f t="shared" si="66"/>
        <v>1.337142857142857</v>
      </c>
      <c r="G38" s="37">
        <f t="shared" si="66"/>
        <v>1.337142857142857</v>
      </c>
      <c r="H38" s="37">
        <f t="shared" si="66"/>
        <v>1.337142857142857</v>
      </c>
      <c r="I38" s="37">
        <f t="shared" si="66"/>
        <v>1.337142857142857</v>
      </c>
      <c r="J38" s="37">
        <f t="shared" si="66"/>
        <v>1.337142857142857</v>
      </c>
      <c r="K38" s="38"/>
      <c r="L38" s="6"/>
      <c r="Z38" s="37">
        <f>V39/7</f>
        <v>0</v>
      </c>
      <c r="AA38" s="37">
        <f t="shared" ref="AA38:AF38" si="67">Z38</f>
        <v>0</v>
      </c>
      <c r="AB38" s="37">
        <f t="shared" si="67"/>
        <v>0</v>
      </c>
      <c r="AC38" s="37">
        <f t="shared" si="67"/>
        <v>0</v>
      </c>
      <c r="AD38" s="37">
        <f t="shared" si="67"/>
        <v>0</v>
      </c>
      <c r="AE38" s="37">
        <f t="shared" si="67"/>
        <v>0</v>
      </c>
      <c r="AF38" s="37">
        <f t="shared" si="67"/>
        <v>0</v>
      </c>
    </row>
    <row r="39" spans="1:32" s="7" customFormat="1" x14ac:dyDescent="0.25">
      <c r="A39" s="1"/>
      <c r="B39" s="41">
        <f>[3]EPPC!$J$19/1000</f>
        <v>9.36</v>
      </c>
      <c r="C39" s="42" t="s">
        <v>26</v>
      </c>
      <c r="D39" s="43">
        <f t="shared" ref="D39:J39" si="68">D36+D37-D38</f>
        <v>23.122857142857143</v>
      </c>
      <c r="E39" s="43">
        <f t="shared" si="68"/>
        <v>21.785714285714285</v>
      </c>
      <c r="F39" s="43">
        <f t="shared" si="68"/>
        <v>54.448571428571427</v>
      </c>
      <c r="G39" s="43">
        <f t="shared" si="68"/>
        <v>53.111428571428569</v>
      </c>
      <c r="H39" s="44">
        <f t="shared" si="68"/>
        <v>51.77428571428571</v>
      </c>
      <c r="I39" s="43">
        <f t="shared" si="68"/>
        <v>50.437142857142852</v>
      </c>
      <c r="J39" s="44">
        <f t="shared" si="68"/>
        <v>49.099999999999994</v>
      </c>
      <c r="K39" s="45"/>
      <c r="L39" s="6"/>
      <c r="Z39" s="43">
        <f t="shared" ref="Z39:AF39" si="69">Z36+Z37-Z38</f>
        <v>24.46</v>
      </c>
      <c r="AA39" s="43">
        <f t="shared" si="69"/>
        <v>24.46</v>
      </c>
      <c r="AB39" s="43">
        <f t="shared" si="69"/>
        <v>24.46</v>
      </c>
      <c r="AC39" s="43">
        <f t="shared" si="69"/>
        <v>24.46</v>
      </c>
      <c r="AD39" s="44">
        <f t="shared" si="69"/>
        <v>24.46</v>
      </c>
      <c r="AE39" s="43">
        <f t="shared" si="69"/>
        <v>24.46</v>
      </c>
      <c r="AF39" s="44">
        <f t="shared" si="69"/>
        <v>24.46</v>
      </c>
    </row>
    <row r="40" spans="1:32" s="46" customFormat="1" x14ac:dyDescent="0.25">
      <c r="A40" s="51"/>
      <c r="B40" s="58"/>
      <c r="C40" s="58"/>
      <c r="D40" s="59">
        <v>0</v>
      </c>
      <c r="E40" s="59">
        <v>0</v>
      </c>
      <c r="F40" s="59">
        <v>2</v>
      </c>
      <c r="G40" s="59">
        <v>0</v>
      </c>
      <c r="H40" s="59">
        <v>0</v>
      </c>
      <c r="I40" s="59">
        <v>0</v>
      </c>
      <c r="J40" s="59">
        <v>0</v>
      </c>
      <c r="K40" s="50"/>
      <c r="L40" s="51"/>
      <c r="Z40" s="59">
        <v>0</v>
      </c>
      <c r="AA40" s="59">
        <v>0</v>
      </c>
      <c r="AB40" s="59">
        <v>0</v>
      </c>
      <c r="AC40" s="59">
        <v>0</v>
      </c>
      <c r="AD40" s="59">
        <v>0</v>
      </c>
      <c r="AE40" s="59">
        <v>0</v>
      </c>
      <c r="AF40" s="59">
        <v>0</v>
      </c>
    </row>
    <row r="41" spans="1:32" s="60" customFormat="1" x14ac:dyDescent="0.25">
      <c r="A41" s="1"/>
      <c r="B41" s="22" t="s">
        <v>33</v>
      </c>
      <c r="C41" s="23" t="s">
        <v>20</v>
      </c>
      <c r="D41" s="62">
        <f>[3]EPPC!$I$20/1000</f>
        <v>72.301000000000002</v>
      </c>
      <c r="E41" s="24">
        <f t="shared" ref="E41:J41" si="70">D44</f>
        <v>80.938428571428574</v>
      </c>
      <c r="F41" s="25">
        <f t="shared" si="70"/>
        <v>89.575857142857146</v>
      </c>
      <c r="G41" s="25">
        <f t="shared" si="70"/>
        <v>98.213285714285718</v>
      </c>
      <c r="H41" s="25">
        <f t="shared" si="70"/>
        <v>106.85071428571429</v>
      </c>
      <c r="I41" s="25">
        <f t="shared" si="70"/>
        <v>115.48814285714286</v>
      </c>
      <c r="J41" s="25">
        <f t="shared" si="70"/>
        <v>124.12557142857143</v>
      </c>
      <c r="K41" s="45"/>
      <c r="L41" s="6"/>
      <c r="Y41" s="67" t="str">
        <f>M13</f>
        <v>V0CGI</v>
      </c>
      <c r="Z41" s="24">
        <f>J44</f>
        <v>114.76300000000001</v>
      </c>
      <c r="AA41" s="24">
        <f t="shared" ref="AA41:AF41" si="71">Z44</f>
        <v>189.67588000000001</v>
      </c>
      <c r="AB41" s="25">
        <f t="shared" si="71"/>
        <v>156.58876000000001</v>
      </c>
      <c r="AC41" s="25">
        <f t="shared" si="71"/>
        <v>123.50164000000001</v>
      </c>
      <c r="AD41" s="25">
        <f t="shared" si="71"/>
        <v>123.50164000000001</v>
      </c>
      <c r="AE41" s="25">
        <f t="shared" si="71"/>
        <v>123.50164000000001</v>
      </c>
      <c r="AF41" s="25">
        <f t="shared" si="71"/>
        <v>123.50164000000001</v>
      </c>
    </row>
    <row r="42" spans="1:32" x14ac:dyDescent="0.25">
      <c r="B42" s="30">
        <f>[3]EPPC!$N$20</f>
        <v>3</v>
      </c>
      <c r="C42" s="31" t="s">
        <v>21</v>
      </c>
      <c r="D42" s="32">
        <f t="shared" ref="D42:J42" si="72">$K$42*D45</f>
        <v>18</v>
      </c>
      <c r="E42" s="32">
        <f t="shared" si="72"/>
        <v>18</v>
      </c>
      <c r="F42" s="32">
        <f t="shared" si="72"/>
        <v>18</v>
      </c>
      <c r="G42" s="32">
        <f t="shared" si="72"/>
        <v>18</v>
      </c>
      <c r="H42" s="32">
        <f t="shared" si="72"/>
        <v>18</v>
      </c>
      <c r="I42" s="32">
        <f t="shared" si="72"/>
        <v>18</v>
      </c>
      <c r="J42" s="32">
        <f t="shared" si="72"/>
        <v>0</v>
      </c>
      <c r="K42" s="33">
        <v>18</v>
      </c>
      <c r="L42" s="6">
        <f>SUM(D42:J42)/K42</f>
        <v>6</v>
      </c>
      <c r="Z42" s="32">
        <f t="shared" ref="Z42:AF42" si="73">$K$42*Z45</f>
        <v>108</v>
      </c>
      <c r="AA42" s="32">
        <f t="shared" si="73"/>
        <v>0</v>
      </c>
      <c r="AB42" s="32">
        <f t="shared" si="73"/>
        <v>0</v>
      </c>
      <c r="AC42" s="32">
        <f t="shared" si="73"/>
        <v>0</v>
      </c>
      <c r="AD42" s="32">
        <f t="shared" si="73"/>
        <v>0</v>
      </c>
      <c r="AE42" s="32">
        <f t="shared" si="73"/>
        <v>0</v>
      </c>
      <c r="AF42" s="32">
        <f t="shared" si="73"/>
        <v>0</v>
      </c>
    </row>
    <row r="43" spans="1:32" x14ac:dyDescent="0.25">
      <c r="A43" s="7"/>
      <c r="B43" s="70">
        <f>SUM(D43:J43)</f>
        <v>65.537999999999997</v>
      </c>
      <c r="C43" s="36" t="s">
        <v>50</v>
      </c>
      <c r="D43" s="37">
        <f>$B44/7</f>
        <v>9.3625714285714281</v>
      </c>
      <c r="E43" s="37">
        <f t="shared" ref="E43:J43" si="74">D43</f>
        <v>9.3625714285714281</v>
      </c>
      <c r="F43" s="37">
        <f t="shared" si="74"/>
        <v>9.3625714285714281</v>
      </c>
      <c r="G43" s="37">
        <f t="shared" si="74"/>
        <v>9.3625714285714281</v>
      </c>
      <c r="H43" s="37">
        <f t="shared" si="74"/>
        <v>9.3625714285714281</v>
      </c>
      <c r="I43" s="37">
        <f t="shared" si="74"/>
        <v>9.3625714285714281</v>
      </c>
      <c r="J43" s="37">
        <f t="shared" si="74"/>
        <v>9.3625714285714281</v>
      </c>
      <c r="K43" s="38"/>
      <c r="X43" s="7" t="s">
        <v>25</v>
      </c>
      <c r="Y43" s="40">
        <f>[3]PPLAN!CE16/1000</f>
        <v>99.26136000000001</v>
      </c>
      <c r="Z43" s="37">
        <f>$Y$43/3</f>
        <v>33.087120000000006</v>
      </c>
      <c r="AA43" s="37">
        <f>$Y$43/3</f>
        <v>33.087120000000006</v>
      </c>
      <c r="AB43" s="37">
        <f>$Y$43/3</f>
        <v>33.087120000000006</v>
      </c>
      <c r="AC43" s="37"/>
      <c r="AD43" s="37"/>
      <c r="AE43" s="37"/>
      <c r="AF43" s="37"/>
    </row>
    <row r="44" spans="1:32" s="8" customFormat="1" x14ac:dyDescent="0.25">
      <c r="B44" s="41">
        <f>[3]EPPC!$J$20/1000</f>
        <v>65.537999999999997</v>
      </c>
      <c r="C44" s="42" t="s">
        <v>26</v>
      </c>
      <c r="D44" s="43">
        <f t="shared" ref="D44:J44" si="75">D41+D42-D43</f>
        <v>80.938428571428574</v>
      </c>
      <c r="E44" s="43">
        <f t="shared" si="75"/>
        <v>89.575857142857146</v>
      </c>
      <c r="F44" s="43">
        <f t="shared" si="75"/>
        <v>98.213285714285718</v>
      </c>
      <c r="G44" s="43">
        <f t="shared" si="75"/>
        <v>106.85071428571429</v>
      </c>
      <c r="H44" s="44">
        <f t="shared" si="75"/>
        <v>115.48814285714286</v>
      </c>
      <c r="I44" s="43">
        <f t="shared" si="75"/>
        <v>124.12557142857143</v>
      </c>
      <c r="J44" s="44">
        <f t="shared" si="75"/>
        <v>114.76300000000001</v>
      </c>
      <c r="K44" s="45"/>
      <c r="L44" s="6"/>
      <c r="M44" s="71"/>
      <c r="N44" s="1"/>
      <c r="O44" s="1"/>
      <c r="P44" s="1"/>
      <c r="Q44" s="1"/>
      <c r="R44" s="1"/>
      <c r="S44" s="1"/>
      <c r="X44" s="1" t="s">
        <v>30</v>
      </c>
      <c r="Y44" s="1">
        <f>[3]Summary!D10</f>
        <v>6</v>
      </c>
      <c r="Z44" s="43">
        <f t="shared" ref="Z44:AF44" si="76">Z41+Z42-Z43</f>
        <v>189.67588000000001</v>
      </c>
      <c r="AA44" s="43">
        <f t="shared" si="76"/>
        <v>156.58876000000001</v>
      </c>
      <c r="AB44" s="43">
        <f t="shared" si="76"/>
        <v>123.50164000000001</v>
      </c>
      <c r="AC44" s="43">
        <f t="shared" si="76"/>
        <v>123.50164000000001</v>
      </c>
      <c r="AD44" s="44">
        <f t="shared" si="76"/>
        <v>123.50164000000001</v>
      </c>
      <c r="AE44" s="43">
        <f t="shared" si="76"/>
        <v>123.50164000000001</v>
      </c>
      <c r="AF44" s="44">
        <f t="shared" si="76"/>
        <v>123.50164000000001</v>
      </c>
    </row>
    <row r="45" spans="1:32" x14ac:dyDescent="0.25">
      <c r="A45" s="60"/>
      <c r="B45" s="67"/>
      <c r="C45" s="67"/>
      <c r="D45" s="59">
        <v>1</v>
      </c>
      <c r="E45" s="59">
        <v>1</v>
      </c>
      <c r="F45" s="59">
        <v>1</v>
      </c>
      <c r="G45" s="59">
        <v>1</v>
      </c>
      <c r="H45" s="59">
        <v>1</v>
      </c>
      <c r="I45" s="59">
        <v>1</v>
      </c>
      <c r="J45" s="59">
        <v>0</v>
      </c>
      <c r="K45" s="59"/>
      <c r="L45" s="59"/>
      <c r="M45" s="46"/>
      <c r="N45" s="72"/>
      <c r="O45" s="72"/>
      <c r="P45" s="72"/>
      <c r="Q45" s="72"/>
      <c r="R45" s="72"/>
      <c r="S45" s="72"/>
      <c r="T45" s="72"/>
      <c r="U45" s="46"/>
      <c r="V45" s="46"/>
      <c r="Z45" s="59">
        <v>6</v>
      </c>
      <c r="AA45" s="59"/>
      <c r="AB45" s="59"/>
      <c r="AC45" s="59"/>
      <c r="AD45" s="59"/>
      <c r="AE45" s="59"/>
      <c r="AF45" s="59"/>
    </row>
    <row r="46" spans="1:32" x14ac:dyDescent="0.25">
      <c r="B46" s="22" t="s">
        <v>38</v>
      </c>
      <c r="C46" s="23" t="s">
        <v>20</v>
      </c>
      <c r="D46" s="62">
        <f>[3]EPPC!$I$25/1000</f>
        <v>0</v>
      </c>
      <c r="E46" s="24">
        <f t="shared" ref="E46:J46" si="77">D49</f>
        <v>0</v>
      </c>
      <c r="F46" s="25">
        <f t="shared" si="77"/>
        <v>0</v>
      </c>
      <c r="G46" s="25">
        <f t="shared" si="77"/>
        <v>0</v>
      </c>
      <c r="H46" s="25">
        <f t="shared" si="77"/>
        <v>0</v>
      </c>
      <c r="I46" s="25">
        <f t="shared" si="77"/>
        <v>0</v>
      </c>
      <c r="J46" s="25">
        <f t="shared" si="77"/>
        <v>0</v>
      </c>
      <c r="K46" s="45"/>
      <c r="M46" s="60"/>
      <c r="N46" s="60"/>
      <c r="O46" s="60"/>
      <c r="P46" s="60"/>
      <c r="Q46" s="60"/>
      <c r="R46" s="60"/>
      <c r="S46" s="60"/>
      <c r="T46" s="60"/>
      <c r="U46" s="60"/>
      <c r="V46" s="60"/>
      <c r="Z46" s="62">
        <f>[3]EPPC!$I$25/1000</f>
        <v>0</v>
      </c>
      <c r="AA46" s="24">
        <f t="shared" ref="AA46:AF46" si="78">Z49</f>
        <v>0</v>
      </c>
      <c r="AB46" s="25">
        <f t="shared" si="78"/>
        <v>0</v>
      </c>
      <c r="AC46" s="25">
        <f t="shared" si="78"/>
        <v>0</v>
      </c>
      <c r="AD46" s="25">
        <f t="shared" si="78"/>
        <v>0</v>
      </c>
      <c r="AE46" s="25">
        <f t="shared" si="78"/>
        <v>0</v>
      </c>
      <c r="AF46" s="25">
        <f t="shared" si="78"/>
        <v>0</v>
      </c>
    </row>
    <row r="47" spans="1:32" x14ac:dyDescent="0.25">
      <c r="B47" s="30">
        <f>[3]EPPC!$N$25</f>
        <v>0</v>
      </c>
      <c r="C47" s="31" t="s">
        <v>21</v>
      </c>
      <c r="D47" s="32">
        <f>$K$22*D50</f>
        <v>0</v>
      </c>
      <c r="E47" s="32">
        <f>($K$22*E50)</f>
        <v>0</v>
      </c>
      <c r="F47" s="32">
        <f>($K$22*F50)</f>
        <v>0</v>
      </c>
      <c r="G47" s="32">
        <f>$K$22*G50</f>
        <v>0</v>
      </c>
      <c r="H47" s="32">
        <f>$K$22*H50</f>
        <v>0</v>
      </c>
      <c r="I47" s="32">
        <f>$K$22*I50</f>
        <v>0</v>
      </c>
      <c r="J47" s="32">
        <f>$K$22*J50</f>
        <v>0</v>
      </c>
      <c r="K47" s="33">
        <v>16</v>
      </c>
      <c r="L47" s="6">
        <f>SUM(D47:J47)/K47</f>
        <v>0</v>
      </c>
      <c r="Z47" s="32">
        <f>$K$22*Z50</f>
        <v>0</v>
      </c>
      <c r="AA47" s="32">
        <f>($K$22*AA50)</f>
        <v>0</v>
      </c>
      <c r="AB47" s="32">
        <f>($K$22*AB50)</f>
        <v>0</v>
      </c>
      <c r="AC47" s="32">
        <f>$K$22*AC50</f>
        <v>0</v>
      </c>
      <c r="AD47" s="32">
        <f>$K$22*AD50</f>
        <v>0</v>
      </c>
      <c r="AE47" s="32">
        <f>$K$22*AE50</f>
        <v>0</v>
      </c>
      <c r="AF47" s="32">
        <f>$K$22*AF50</f>
        <v>0</v>
      </c>
    </row>
    <row r="48" spans="1:32" s="7" customFormat="1" x14ac:dyDescent="0.25">
      <c r="B48" s="35">
        <f>SUM(D48:J48)</f>
        <v>0</v>
      </c>
      <c r="C48" s="36" t="s">
        <v>23</v>
      </c>
      <c r="D48" s="37">
        <f>B49/7</f>
        <v>0</v>
      </c>
      <c r="E48" s="37">
        <f t="shared" ref="E48:J48" si="79">D48</f>
        <v>0</v>
      </c>
      <c r="F48" s="37">
        <f t="shared" si="79"/>
        <v>0</v>
      </c>
      <c r="G48" s="37">
        <f t="shared" si="79"/>
        <v>0</v>
      </c>
      <c r="H48" s="37">
        <f t="shared" si="79"/>
        <v>0</v>
      </c>
      <c r="I48" s="37">
        <f t="shared" si="79"/>
        <v>0</v>
      </c>
      <c r="J48" s="37">
        <f t="shared" si="79"/>
        <v>0</v>
      </c>
      <c r="K48" s="38"/>
      <c r="L48" s="6"/>
      <c r="M48" s="1"/>
      <c r="N48" s="1"/>
      <c r="O48" s="1"/>
      <c r="P48" s="1"/>
      <c r="Q48" s="1"/>
      <c r="R48" s="1"/>
      <c r="S48" s="1"/>
      <c r="T48" s="1"/>
      <c r="U48" s="1"/>
      <c r="Z48" s="37">
        <f>V49/7</f>
        <v>0</v>
      </c>
      <c r="AA48" s="37">
        <f t="shared" ref="AA48:AF48" si="80">Z48</f>
        <v>0</v>
      </c>
      <c r="AB48" s="37">
        <f t="shared" si="80"/>
        <v>0</v>
      </c>
      <c r="AC48" s="37">
        <f t="shared" si="80"/>
        <v>0</v>
      </c>
      <c r="AD48" s="37">
        <f t="shared" si="80"/>
        <v>0</v>
      </c>
      <c r="AE48" s="37">
        <f t="shared" si="80"/>
        <v>0</v>
      </c>
      <c r="AF48" s="37">
        <f t="shared" si="80"/>
        <v>0</v>
      </c>
    </row>
    <row r="49" spans="1:32" x14ac:dyDescent="0.25">
      <c r="B49" s="41">
        <f>[3]EPPC!$J$25/1000</f>
        <v>0</v>
      </c>
      <c r="C49" s="42" t="s">
        <v>26</v>
      </c>
      <c r="D49" s="43">
        <f t="shared" ref="D49:J49" si="81">D46+D47-D48</f>
        <v>0</v>
      </c>
      <c r="E49" s="43">
        <f t="shared" si="81"/>
        <v>0</v>
      </c>
      <c r="F49" s="43">
        <f t="shared" si="81"/>
        <v>0</v>
      </c>
      <c r="G49" s="43">
        <f t="shared" si="81"/>
        <v>0</v>
      </c>
      <c r="H49" s="44">
        <f t="shared" si="81"/>
        <v>0</v>
      </c>
      <c r="I49" s="43">
        <f t="shared" si="81"/>
        <v>0</v>
      </c>
      <c r="J49" s="44">
        <f t="shared" si="81"/>
        <v>0</v>
      </c>
      <c r="K49" s="45"/>
      <c r="Z49" s="43">
        <f t="shared" ref="Z49:AF49" si="82">Z46+Z47-Z48</f>
        <v>0</v>
      </c>
      <c r="AA49" s="43">
        <f t="shared" si="82"/>
        <v>0</v>
      </c>
      <c r="AB49" s="43">
        <f t="shared" si="82"/>
        <v>0</v>
      </c>
      <c r="AC49" s="43">
        <f t="shared" si="82"/>
        <v>0</v>
      </c>
      <c r="AD49" s="44">
        <f t="shared" si="82"/>
        <v>0</v>
      </c>
      <c r="AE49" s="43">
        <f t="shared" si="82"/>
        <v>0</v>
      </c>
      <c r="AF49" s="44">
        <f t="shared" si="82"/>
        <v>0</v>
      </c>
    </row>
    <row r="50" spans="1:32" s="46" customFormat="1" x14ac:dyDescent="0.25">
      <c r="B50" s="58"/>
      <c r="C50" s="58"/>
      <c r="D50" s="59">
        <v>0</v>
      </c>
      <c r="E50" s="59">
        <v>0</v>
      </c>
      <c r="F50" s="59">
        <v>0</v>
      </c>
      <c r="G50" s="59">
        <v>0</v>
      </c>
      <c r="H50" s="59">
        <v>0</v>
      </c>
      <c r="I50" s="59">
        <v>0</v>
      </c>
      <c r="J50" s="59">
        <v>0</v>
      </c>
      <c r="K50" s="50"/>
      <c r="L50" s="51"/>
      <c r="Z50" s="59">
        <v>0</v>
      </c>
      <c r="AA50" s="59">
        <v>0</v>
      </c>
      <c r="AB50" s="59">
        <v>0</v>
      </c>
      <c r="AC50" s="59">
        <v>0</v>
      </c>
      <c r="AD50" s="59">
        <v>0</v>
      </c>
      <c r="AE50" s="59">
        <v>0</v>
      </c>
      <c r="AF50" s="59">
        <v>0</v>
      </c>
    </row>
    <row r="51" spans="1:32" s="7" customFormat="1" x14ac:dyDescent="0.25">
      <c r="A51" s="1"/>
      <c r="B51" s="22" t="s">
        <v>35</v>
      </c>
      <c r="C51" s="23" t="s">
        <v>20</v>
      </c>
      <c r="D51" s="62">
        <f>[3]EPPC!$I$22/1000</f>
        <v>0</v>
      </c>
      <c r="E51" s="24">
        <f t="shared" ref="E51:J51" si="83">D54</f>
        <v>0</v>
      </c>
      <c r="F51" s="25">
        <f t="shared" si="83"/>
        <v>0</v>
      </c>
      <c r="G51" s="25">
        <f t="shared" si="83"/>
        <v>0</v>
      </c>
      <c r="H51" s="25">
        <f t="shared" si="83"/>
        <v>0</v>
      </c>
      <c r="I51" s="25">
        <f t="shared" si="83"/>
        <v>0</v>
      </c>
      <c r="J51" s="25">
        <f t="shared" si="83"/>
        <v>0</v>
      </c>
      <c r="K51" s="45"/>
      <c r="L51" s="6"/>
    </row>
    <row r="52" spans="1:32" x14ac:dyDescent="0.25">
      <c r="A52" s="60"/>
      <c r="B52" s="30">
        <f>[3]EPPC!$N$22</f>
        <v>0</v>
      </c>
      <c r="C52" s="31" t="s">
        <v>21</v>
      </c>
      <c r="D52" s="32">
        <f t="shared" ref="D52:J52" si="84">$K$52*D55</f>
        <v>0</v>
      </c>
      <c r="E52" s="32">
        <f t="shared" si="84"/>
        <v>0</v>
      </c>
      <c r="F52" s="32">
        <f t="shared" si="84"/>
        <v>0</v>
      </c>
      <c r="G52" s="32">
        <f t="shared" si="84"/>
        <v>0</v>
      </c>
      <c r="H52" s="32">
        <f t="shared" si="84"/>
        <v>0</v>
      </c>
      <c r="I52" s="32">
        <f t="shared" si="84"/>
        <v>0</v>
      </c>
      <c r="J52" s="32">
        <f t="shared" si="84"/>
        <v>0</v>
      </c>
      <c r="K52" s="33">
        <v>8</v>
      </c>
      <c r="L52" s="6">
        <f>SUM(D52:J52)/K52</f>
        <v>0</v>
      </c>
    </row>
    <row r="53" spans="1:32" s="60" customFormat="1" x14ac:dyDescent="0.25">
      <c r="A53" s="1"/>
      <c r="B53" s="35">
        <f>SUM(D53:J53)</f>
        <v>0</v>
      </c>
      <c r="C53" s="36" t="s">
        <v>23</v>
      </c>
      <c r="D53" s="37">
        <f>B54/7</f>
        <v>0</v>
      </c>
      <c r="E53" s="37">
        <f>D53</f>
        <v>0</v>
      </c>
      <c r="F53" s="37">
        <f>E53</f>
        <v>0</v>
      </c>
      <c r="G53" s="37">
        <f>F53</f>
        <v>0</v>
      </c>
      <c r="H53" s="37">
        <f>D53</f>
        <v>0</v>
      </c>
      <c r="I53" s="37">
        <f>H53</f>
        <v>0</v>
      </c>
      <c r="J53" s="37">
        <f>I53</f>
        <v>0</v>
      </c>
      <c r="K53" s="38"/>
      <c r="L53" s="6"/>
    </row>
    <row r="54" spans="1:32" x14ac:dyDescent="0.25">
      <c r="B54" s="41">
        <f>[3]EPPC!$J$22/1000</f>
        <v>0</v>
      </c>
      <c r="C54" s="42" t="s">
        <v>26</v>
      </c>
      <c r="D54" s="43">
        <f t="shared" ref="D54:J54" si="85">D51+D52-D53</f>
        <v>0</v>
      </c>
      <c r="E54" s="43">
        <f t="shared" si="85"/>
        <v>0</v>
      </c>
      <c r="F54" s="43">
        <f t="shared" si="85"/>
        <v>0</v>
      </c>
      <c r="G54" s="43">
        <f t="shared" si="85"/>
        <v>0</v>
      </c>
      <c r="H54" s="44">
        <f t="shared" si="85"/>
        <v>0</v>
      </c>
      <c r="I54" s="43">
        <f t="shared" si="85"/>
        <v>0</v>
      </c>
      <c r="J54" s="44">
        <f t="shared" si="85"/>
        <v>0</v>
      </c>
      <c r="K54" s="45"/>
      <c r="M54" s="60"/>
      <c r="N54" s="60"/>
      <c r="O54" s="60"/>
      <c r="P54" s="60"/>
      <c r="Q54" s="60"/>
      <c r="R54" s="60"/>
      <c r="S54" s="60"/>
      <c r="T54" s="60"/>
      <c r="U54" s="60"/>
      <c r="V54" s="60"/>
    </row>
    <row r="55" spans="1:32" s="46" customFormat="1" x14ac:dyDescent="0.25">
      <c r="B55" s="58"/>
      <c r="C55" s="58"/>
      <c r="D55" s="59">
        <v>0</v>
      </c>
      <c r="E55" s="59">
        <v>0</v>
      </c>
      <c r="F55" s="59">
        <v>0</v>
      </c>
      <c r="G55" s="59">
        <v>0</v>
      </c>
      <c r="H55" s="59">
        <v>0</v>
      </c>
      <c r="I55" s="59">
        <v>0</v>
      </c>
      <c r="J55" s="59">
        <v>0</v>
      </c>
      <c r="K55" s="50"/>
      <c r="L55" s="51"/>
    </row>
    <row r="56" spans="1:32" s="7" customFormat="1" hidden="1" x14ac:dyDescent="0.25">
      <c r="B56" s="22" t="s">
        <v>40</v>
      </c>
      <c r="C56" s="23" t="s">
        <v>20</v>
      </c>
      <c r="D56" s="62" t="e">
        <f>[3]EPPC!$I$23/1000</f>
        <v>#VALUE!</v>
      </c>
      <c r="E56" s="24" t="e">
        <f t="shared" ref="E56:J56" si="86">D59</f>
        <v>#VALUE!</v>
      </c>
      <c r="F56" s="25" t="e">
        <f t="shared" si="86"/>
        <v>#VALUE!</v>
      </c>
      <c r="G56" s="25" t="e">
        <f t="shared" si="86"/>
        <v>#VALUE!</v>
      </c>
      <c r="H56" s="25" t="e">
        <f t="shared" si="86"/>
        <v>#VALUE!</v>
      </c>
      <c r="I56" s="25" t="e">
        <f t="shared" si="86"/>
        <v>#VALUE!</v>
      </c>
      <c r="J56" s="25" t="e">
        <f t="shared" si="86"/>
        <v>#VALUE!</v>
      </c>
      <c r="K56" s="45"/>
      <c r="L56" s="6"/>
      <c r="M56" s="1"/>
      <c r="N56" s="1"/>
      <c r="O56" s="1"/>
      <c r="P56" s="1"/>
      <c r="Q56" s="1"/>
      <c r="R56" s="1"/>
      <c r="S56" s="1"/>
      <c r="T56" s="1"/>
      <c r="U56" s="1"/>
    </row>
    <row r="57" spans="1:32" s="7" customFormat="1" hidden="1" x14ac:dyDescent="0.25">
      <c r="A57" s="1"/>
      <c r="B57" s="30">
        <f>[3]EPPC!$N$23</f>
        <v>0</v>
      </c>
      <c r="C57" s="31" t="s">
        <v>21</v>
      </c>
      <c r="D57" s="32">
        <f>$K$22*D60</f>
        <v>0</v>
      </c>
      <c r="E57" s="32">
        <f>($K$22*E60)</f>
        <v>0</v>
      </c>
      <c r="F57" s="32">
        <f>($K$22*F60)</f>
        <v>0</v>
      </c>
      <c r="G57" s="32">
        <f>$K$22*G60</f>
        <v>0</v>
      </c>
      <c r="H57" s="32">
        <f>$K$22*H60</f>
        <v>0</v>
      </c>
      <c r="I57" s="32">
        <f>$K$57*I60</f>
        <v>0</v>
      </c>
      <c r="J57" s="32">
        <f>$K$22*J60</f>
        <v>0</v>
      </c>
      <c r="K57" s="33">
        <v>14.4</v>
      </c>
      <c r="L57" s="6">
        <f>SUM(D57:J57)/K57</f>
        <v>0</v>
      </c>
      <c r="M57" s="1"/>
      <c r="N57" s="1"/>
      <c r="O57" s="1"/>
      <c r="P57" s="1"/>
      <c r="Q57" s="1"/>
      <c r="R57" s="1"/>
      <c r="S57" s="1"/>
      <c r="T57" s="1"/>
      <c r="U57" s="1"/>
    </row>
    <row r="58" spans="1:32" hidden="1" x14ac:dyDescent="0.25">
      <c r="A58" s="60"/>
      <c r="B58" s="35">
        <f>SUM(D58:J58)</f>
        <v>0</v>
      </c>
      <c r="C58" s="36" t="s">
        <v>23</v>
      </c>
      <c r="D58" s="37">
        <f>$B59/7</f>
        <v>0</v>
      </c>
      <c r="E58" s="37">
        <f t="shared" ref="E58:J58" si="87">D58</f>
        <v>0</v>
      </c>
      <c r="F58" s="37">
        <f t="shared" si="87"/>
        <v>0</v>
      </c>
      <c r="G58" s="37">
        <f t="shared" si="87"/>
        <v>0</v>
      </c>
      <c r="H58" s="37">
        <f t="shared" si="87"/>
        <v>0</v>
      </c>
      <c r="I58" s="37">
        <f t="shared" si="87"/>
        <v>0</v>
      </c>
      <c r="J58" s="37">
        <f t="shared" si="87"/>
        <v>0</v>
      </c>
      <c r="K58" s="38"/>
      <c r="M58" s="7"/>
      <c r="N58" s="7"/>
      <c r="O58" s="7"/>
      <c r="P58" s="7"/>
      <c r="Q58" s="7"/>
      <c r="R58" s="7"/>
      <c r="S58" s="7"/>
      <c r="T58" s="7"/>
      <c r="U58" s="7"/>
    </row>
    <row r="59" spans="1:32" s="60" customFormat="1" hidden="1" x14ac:dyDescent="0.25">
      <c r="A59" s="1"/>
      <c r="B59" s="41">
        <f>[3]EPPC!J23/1000</f>
        <v>0</v>
      </c>
      <c r="C59" s="42" t="s">
        <v>26</v>
      </c>
      <c r="D59" s="43" t="e">
        <f t="shared" ref="D59:J59" si="88">D56+D57-D58</f>
        <v>#VALUE!</v>
      </c>
      <c r="E59" s="43" t="e">
        <f t="shared" si="88"/>
        <v>#VALUE!</v>
      </c>
      <c r="F59" s="43" t="e">
        <f t="shared" si="88"/>
        <v>#VALUE!</v>
      </c>
      <c r="G59" s="43" t="e">
        <f t="shared" si="88"/>
        <v>#VALUE!</v>
      </c>
      <c r="H59" s="44" t="e">
        <f t="shared" si="88"/>
        <v>#VALUE!</v>
      </c>
      <c r="I59" s="43" t="e">
        <f t="shared" si="88"/>
        <v>#VALUE!</v>
      </c>
      <c r="J59" s="44" t="e">
        <f t="shared" si="88"/>
        <v>#VALUE!</v>
      </c>
      <c r="K59" s="45"/>
      <c r="L59" s="6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32" s="46" customFormat="1" hidden="1" x14ac:dyDescent="0.25">
      <c r="B60" s="58"/>
      <c r="C60" s="58"/>
      <c r="D60" s="59">
        <v>0</v>
      </c>
      <c r="E60" s="59">
        <v>0</v>
      </c>
      <c r="F60" s="59">
        <v>0</v>
      </c>
      <c r="G60" s="59">
        <v>0</v>
      </c>
      <c r="H60" s="59">
        <v>0</v>
      </c>
      <c r="I60" s="59">
        <v>0</v>
      </c>
      <c r="J60" s="59">
        <v>0</v>
      </c>
      <c r="K60" s="50"/>
      <c r="L60" s="51"/>
    </row>
    <row r="61" spans="1:32" x14ac:dyDescent="0.25">
      <c r="A61" s="7"/>
      <c r="B61" s="73" t="s">
        <v>37</v>
      </c>
      <c r="C61" s="23" t="s">
        <v>20</v>
      </c>
      <c r="D61" s="62">
        <f>[3]EPPC!$I$24/1000</f>
        <v>83.688000000000031</v>
      </c>
      <c r="E61" s="24">
        <f t="shared" ref="E61:J61" si="89">D64</f>
        <v>72.258857142857181</v>
      </c>
      <c r="F61" s="25">
        <f t="shared" si="89"/>
        <v>162.82971428571432</v>
      </c>
      <c r="G61" s="25">
        <f t="shared" si="89"/>
        <v>151.40057142857145</v>
      </c>
      <c r="H61" s="25">
        <f t="shared" si="89"/>
        <v>139.97142857142859</v>
      </c>
      <c r="I61" s="25">
        <f t="shared" si="89"/>
        <v>230.54228571428573</v>
      </c>
      <c r="J61" s="25">
        <f t="shared" si="89"/>
        <v>219.11314285714286</v>
      </c>
      <c r="K61" s="45"/>
    </row>
    <row r="62" spans="1:32" s="7" customFormat="1" x14ac:dyDescent="0.25">
      <c r="B62" s="30">
        <f>[3]EPPC!$N$24</f>
        <v>7</v>
      </c>
      <c r="C62" s="31" t="s">
        <v>51</v>
      </c>
      <c r="D62" s="32">
        <f>$K$62*D65</f>
        <v>0</v>
      </c>
      <c r="E62" s="32">
        <f t="shared" ref="E62:J62" si="90">$K$62*E65</f>
        <v>102</v>
      </c>
      <c r="F62" s="32">
        <f>$K$62*F65</f>
        <v>0</v>
      </c>
      <c r="G62" s="32">
        <f t="shared" si="90"/>
        <v>0</v>
      </c>
      <c r="H62" s="32">
        <f>$K$62*H65</f>
        <v>102</v>
      </c>
      <c r="I62" s="32">
        <f t="shared" si="90"/>
        <v>0</v>
      </c>
      <c r="J62" s="32">
        <f t="shared" si="90"/>
        <v>0</v>
      </c>
      <c r="K62" s="33">
        <v>17</v>
      </c>
      <c r="L62" s="6">
        <f>SUM(D62:J62)/K62</f>
        <v>12</v>
      </c>
      <c r="M62" s="1"/>
      <c r="N62" s="1"/>
      <c r="O62" s="1"/>
      <c r="P62" s="1"/>
      <c r="Q62" s="1"/>
      <c r="R62" s="1"/>
      <c r="S62" s="1"/>
      <c r="T62" s="1"/>
      <c r="U62" s="1"/>
    </row>
    <row r="63" spans="1:32" x14ac:dyDescent="0.25">
      <c r="B63" s="35">
        <f>SUM(D63:J63)</f>
        <v>80.003999999999962</v>
      </c>
      <c r="C63" s="36" t="s">
        <v>23</v>
      </c>
      <c r="D63" s="37">
        <f>$B64/7</f>
        <v>11.429142857142853</v>
      </c>
      <c r="E63" s="37">
        <f t="shared" ref="E63:J63" si="91">D63</f>
        <v>11.429142857142853</v>
      </c>
      <c r="F63" s="37">
        <f t="shared" si="91"/>
        <v>11.429142857142853</v>
      </c>
      <c r="G63" s="37">
        <f t="shared" si="91"/>
        <v>11.429142857142853</v>
      </c>
      <c r="H63" s="37">
        <f t="shared" si="91"/>
        <v>11.429142857142853</v>
      </c>
      <c r="I63" s="37">
        <f t="shared" si="91"/>
        <v>11.429142857142853</v>
      </c>
      <c r="J63" s="37">
        <f t="shared" si="91"/>
        <v>11.429142857142853</v>
      </c>
      <c r="K63" s="38"/>
    </row>
    <row r="64" spans="1:32" s="60" customFormat="1" x14ac:dyDescent="0.25">
      <c r="A64" s="1"/>
      <c r="B64" s="41">
        <f>[3]EPPC!$J$24/1000</f>
        <v>80.003999999999976</v>
      </c>
      <c r="C64" s="42" t="s">
        <v>26</v>
      </c>
      <c r="D64" s="43">
        <f t="shared" ref="D64:J64" si="92">D61+D62-D63</f>
        <v>72.258857142857181</v>
      </c>
      <c r="E64" s="43">
        <f t="shared" si="92"/>
        <v>162.82971428571432</v>
      </c>
      <c r="F64" s="43">
        <f t="shared" si="92"/>
        <v>151.40057142857145</v>
      </c>
      <c r="G64" s="43">
        <f t="shared" si="92"/>
        <v>139.97142857142859</v>
      </c>
      <c r="H64" s="44">
        <f t="shared" si="92"/>
        <v>230.54228571428573</v>
      </c>
      <c r="I64" s="43">
        <f t="shared" si="92"/>
        <v>219.11314285714286</v>
      </c>
      <c r="J64" s="44">
        <f t="shared" si="92"/>
        <v>207.684</v>
      </c>
      <c r="K64" s="45"/>
      <c r="L64" s="6"/>
      <c r="M64" s="1"/>
      <c r="N64" s="1"/>
      <c r="O64" s="1"/>
      <c r="P64" s="1"/>
      <c r="Q64" s="1"/>
      <c r="R64" s="1"/>
      <c r="S64" s="1"/>
      <c r="T64" s="1"/>
      <c r="U64" s="1"/>
      <c r="V64" s="7"/>
    </row>
    <row r="65" spans="1:22" x14ac:dyDescent="0.25">
      <c r="B65" s="67"/>
      <c r="C65" s="67"/>
      <c r="D65" s="59">
        <v>0</v>
      </c>
      <c r="E65" s="59">
        <v>6</v>
      </c>
      <c r="F65" s="59">
        <v>0</v>
      </c>
      <c r="G65" s="59">
        <v>0</v>
      </c>
      <c r="H65" s="59">
        <v>6</v>
      </c>
      <c r="I65" s="59">
        <v>0</v>
      </c>
      <c r="J65" s="59">
        <v>0</v>
      </c>
      <c r="K65" s="74"/>
      <c r="L65" s="60"/>
    </row>
    <row r="66" spans="1:22" x14ac:dyDescent="0.25">
      <c r="A66" s="7"/>
      <c r="B66" s="22" t="s">
        <v>46</v>
      </c>
      <c r="C66" s="23" t="s">
        <v>20</v>
      </c>
      <c r="D66" s="62">
        <f>[3]EPPC!$I$30/1000</f>
        <v>3.532</v>
      </c>
      <c r="E66" s="24">
        <f t="shared" ref="E66:J66" si="93">D69</f>
        <v>3.3679239999999999</v>
      </c>
      <c r="F66" s="25">
        <f t="shared" si="93"/>
        <v>3.2038479999999998</v>
      </c>
      <c r="G66" s="25">
        <f t="shared" si="93"/>
        <v>3.0397719999999997</v>
      </c>
      <c r="H66" s="25">
        <f>G69</f>
        <v>2.8756959999999996</v>
      </c>
      <c r="I66" s="25">
        <f t="shared" si="93"/>
        <v>2.7116199999999995</v>
      </c>
      <c r="J66" s="25">
        <f t="shared" si="93"/>
        <v>2.5475439999999994</v>
      </c>
      <c r="K66" s="45"/>
    </row>
    <row r="67" spans="1:22" s="7" customFormat="1" x14ac:dyDescent="0.25">
      <c r="B67" s="30">
        <f>[3]EPPC!$N$30</f>
        <v>0</v>
      </c>
      <c r="C67" s="31" t="s">
        <v>21</v>
      </c>
      <c r="D67" s="32">
        <f>$K$67*D70</f>
        <v>0</v>
      </c>
      <c r="E67" s="32">
        <f t="shared" ref="E67:J67" si="94">$K$67*E70</f>
        <v>0</v>
      </c>
      <c r="F67" s="32">
        <f t="shared" si="94"/>
        <v>0</v>
      </c>
      <c r="G67" s="32">
        <f t="shared" si="94"/>
        <v>0</v>
      </c>
      <c r="H67" s="32">
        <f t="shared" si="94"/>
        <v>0</v>
      </c>
      <c r="I67" s="32">
        <f t="shared" si="94"/>
        <v>0</v>
      </c>
      <c r="J67" s="32">
        <f t="shared" si="94"/>
        <v>0</v>
      </c>
      <c r="K67" s="33">
        <v>14</v>
      </c>
      <c r="L67" s="6">
        <f>SUM(D67:J67)/K67</f>
        <v>0</v>
      </c>
      <c r="M67" s="1"/>
      <c r="N67" s="1"/>
      <c r="O67" s="1"/>
      <c r="P67" s="1"/>
      <c r="Q67" s="1"/>
      <c r="R67" s="1"/>
      <c r="S67" s="1"/>
      <c r="T67" s="1"/>
      <c r="U67" s="1"/>
    </row>
    <row r="68" spans="1:22" x14ac:dyDescent="0.25">
      <c r="B68" s="35">
        <f>SUM(D68:J68)</f>
        <v>1.1485320000000006</v>
      </c>
      <c r="C68" s="36" t="s">
        <v>23</v>
      </c>
      <c r="D68" s="37">
        <f>$B69/7</f>
        <v>0.16407600000000006</v>
      </c>
      <c r="E68" s="37">
        <f t="shared" ref="E68:J68" si="95">D68</f>
        <v>0.16407600000000006</v>
      </c>
      <c r="F68" s="37">
        <f t="shared" si="95"/>
        <v>0.16407600000000006</v>
      </c>
      <c r="G68" s="37">
        <f t="shared" si="95"/>
        <v>0.16407600000000006</v>
      </c>
      <c r="H68" s="37">
        <f t="shared" si="95"/>
        <v>0.16407600000000006</v>
      </c>
      <c r="I68" s="37">
        <f t="shared" si="95"/>
        <v>0.16407600000000006</v>
      </c>
      <c r="J68" s="37">
        <f t="shared" si="95"/>
        <v>0.16407600000000006</v>
      </c>
      <c r="K68" s="38"/>
    </row>
    <row r="69" spans="1:22" x14ac:dyDescent="0.25">
      <c r="A69" s="60"/>
      <c r="B69" s="41">
        <f>[3]EPPC!$J$30/1000</f>
        <v>1.1485320000000003</v>
      </c>
      <c r="C69" s="42" t="s">
        <v>26</v>
      </c>
      <c r="D69" s="43">
        <f t="shared" ref="D69:J69" si="96">D66+D67-D68</f>
        <v>3.3679239999999999</v>
      </c>
      <c r="E69" s="43">
        <f t="shared" si="96"/>
        <v>3.2038479999999998</v>
      </c>
      <c r="F69" s="43">
        <f t="shared" si="96"/>
        <v>3.0397719999999997</v>
      </c>
      <c r="G69" s="43">
        <f t="shared" si="96"/>
        <v>2.8756959999999996</v>
      </c>
      <c r="H69" s="44">
        <f t="shared" si="96"/>
        <v>2.7116199999999995</v>
      </c>
      <c r="I69" s="43">
        <f t="shared" si="96"/>
        <v>2.5475439999999994</v>
      </c>
      <c r="J69" s="44">
        <f t="shared" si="96"/>
        <v>2.3834679999999993</v>
      </c>
      <c r="K69" s="45"/>
    </row>
    <row r="70" spans="1:22" s="46" customFormat="1" x14ac:dyDescent="0.25">
      <c r="B70" s="58"/>
      <c r="C70" s="58"/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0</v>
      </c>
      <c r="K70" s="50"/>
      <c r="L70" s="51"/>
    </row>
    <row r="71" spans="1:22" x14ac:dyDescent="0.25">
      <c r="B71" s="22" t="s">
        <v>42</v>
      </c>
      <c r="C71" s="23" t="s">
        <v>20</v>
      </c>
      <c r="D71" s="62">
        <f>[3]EPPC!$I$26/1000</f>
        <v>0</v>
      </c>
      <c r="E71" s="24">
        <f t="shared" ref="E71:J71" si="97">D74</f>
        <v>0</v>
      </c>
      <c r="F71" s="25">
        <f t="shared" si="97"/>
        <v>0</v>
      </c>
      <c r="G71" s="25">
        <f t="shared" si="97"/>
        <v>0</v>
      </c>
      <c r="H71" s="25">
        <f>G74</f>
        <v>0</v>
      </c>
      <c r="I71" s="25">
        <f t="shared" si="97"/>
        <v>0</v>
      </c>
      <c r="J71" s="25">
        <f t="shared" si="97"/>
        <v>0</v>
      </c>
      <c r="K71" s="45"/>
      <c r="M71" s="60"/>
      <c r="N71" s="60"/>
      <c r="O71" s="67"/>
      <c r="P71" s="67"/>
      <c r="Q71" s="67"/>
      <c r="R71" s="67"/>
      <c r="S71" s="67"/>
      <c r="T71" s="67"/>
      <c r="U71" s="67"/>
      <c r="V71" s="68"/>
    </row>
    <row r="72" spans="1:22" s="7" customFormat="1" x14ac:dyDescent="0.25">
      <c r="B72" s="30">
        <f>[3]EPPC!$N$26</f>
        <v>1</v>
      </c>
      <c r="C72" s="31" t="s">
        <v>21</v>
      </c>
      <c r="D72" s="32">
        <f>$K$72*D75</f>
        <v>0</v>
      </c>
      <c r="E72" s="32">
        <f t="shared" ref="E72:J72" si="98">$K$72*E75</f>
        <v>0</v>
      </c>
      <c r="F72" s="32">
        <f t="shared" si="98"/>
        <v>0</v>
      </c>
      <c r="G72" s="32">
        <f t="shared" si="98"/>
        <v>0</v>
      </c>
      <c r="H72" s="32">
        <f t="shared" si="98"/>
        <v>0</v>
      </c>
      <c r="I72" s="32">
        <f t="shared" si="98"/>
        <v>0</v>
      </c>
      <c r="J72" s="32">
        <f t="shared" si="98"/>
        <v>0</v>
      </c>
      <c r="K72" s="33">
        <v>4.4000000000000004</v>
      </c>
      <c r="L72" s="6">
        <f>SUM(D72:J72)/K72</f>
        <v>0</v>
      </c>
      <c r="M72" s="1"/>
      <c r="N72" s="1"/>
      <c r="O72" s="1"/>
      <c r="P72" s="1"/>
      <c r="Q72" s="1"/>
      <c r="R72" s="1"/>
      <c r="S72" s="1"/>
      <c r="T72" s="1"/>
      <c r="U72" s="1"/>
    </row>
    <row r="73" spans="1:22" x14ac:dyDescent="0.25">
      <c r="B73" s="35">
        <f>SUM(D73:J73)</f>
        <v>0</v>
      </c>
      <c r="C73" s="36" t="s">
        <v>23</v>
      </c>
      <c r="D73" s="37">
        <f>$B74/7</f>
        <v>0</v>
      </c>
      <c r="E73" s="37">
        <f t="shared" ref="E73:J73" si="99">D73</f>
        <v>0</v>
      </c>
      <c r="F73" s="37">
        <f t="shared" si="99"/>
        <v>0</v>
      </c>
      <c r="G73" s="37">
        <f t="shared" si="99"/>
        <v>0</v>
      </c>
      <c r="H73" s="37">
        <f t="shared" si="99"/>
        <v>0</v>
      </c>
      <c r="I73" s="37">
        <f t="shared" si="99"/>
        <v>0</v>
      </c>
      <c r="J73" s="37">
        <f t="shared" si="99"/>
        <v>0</v>
      </c>
      <c r="K73" s="38"/>
    </row>
    <row r="74" spans="1:22" x14ac:dyDescent="0.25">
      <c r="A74" s="60"/>
      <c r="B74" s="41">
        <f>[3]EPPC!$J$26/1000</f>
        <v>0</v>
      </c>
      <c r="C74" s="42" t="s">
        <v>26</v>
      </c>
      <c r="D74" s="43">
        <f t="shared" ref="D74:J74" si="100">D71+D72-D73</f>
        <v>0</v>
      </c>
      <c r="E74" s="43">
        <f t="shared" si="100"/>
        <v>0</v>
      </c>
      <c r="F74" s="43">
        <f t="shared" si="100"/>
        <v>0</v>
      </c>
      <c r="G74" s="43">
        <f t="shared" si="100"/>
        <v>0</v>
      </c>
      <c r="H74" s="44">
        <f t="shared" si="100"/>
        <v>0</v>
      </c>
      <c r="I74" s="43">
        <f t="shared" si="100"/>
        <v>0</v>
      </c>
      <c r="J74" s="44">
        <f t="shared" si="100"/>
        <v>0</v>
      </c>
      <c r="K74" s="45"/>
      <c r="M74" s="7"/>
      <c r="N74" s="7"/>
      <c r="O74" s="7"/>
      <c r="P74" s="7"/>
      <c r="Q74" s="7"/>
      <c r="R74" s="7"/>
      <c r="S74" s="7"/>
      <c r="T74" s="7"/>
      <c r="U74" s="7"/>
    </row>
    <row r="75" spans="1:22" s="46" customFormat="1" x14ac:dyDescent="0.25">
      <c r="B75" s="58"/>
      <c r="C75" s="58"/>
      <c r="D75" s="59">
        <v>0</v>
      </c>
      <c r="E75" s="59">
        <v>0</v>
      </c>
      <c r="F75" s="59">
        <v>0</v>
      </c>
      <c r="G75" s="59">
        <v>0</v>
      </c>
      <c r="H75" s="59">
        <v>0</v>
      </c>
      <c r="I75" s="59">
        <v>0</v>
      </c>
      <c r="J75" s="59">
        <v>0</v>
      </c>
      <c r="K75" s="50"/>
      <c r="L75" s="51"/>
    </row>
    <row r="76" spans="1:22" x14ac:dyDescent="0.25">
      <c r="B76" s="73" t="s">
        <v>43</v>
      </c>
      <c r="C76" s="23" t="s">
        <v>20</v>
      </c>
      <c r="D76" s="62">
        <f>[3]EPPC!$I$27/1000</f>
        <v>17.338000000000001</v>
      </c>
      <c r="E76" s="25">
        <f t="shared" ref="E76:J76" si="101">D79</f>
        <v>15.4219936</v>
      </c>
      <c r="F76" s="25">
        <f t="shared" si="101"/>
        <v>13.5059872</v>
      </c>
      <c r="G76" s="25">
        <f t="shared" si="101"/>
        <v>11.589980799999999</v>
      </c>
      <c r="H76" s="25">
        <f>G79</f>
        <v>9.6739743999999988</v>
      </c>
      <c r="I76" s="25">
        <f t="shared" si="101"/>
        <v>7.7579679999999991</v>
      </c>
      <c r="J76" s="25">
        <f t="shared" si="101"/>
        <v>23.441961599999999</v>
      </c>
      <c r="K76" s="45"/>
    </row>
    <row r="77" spans="1:22" s="7" customFormat="1" x14ac:dyDescent="0.25">
      <c r="B77" s="30">
        <f>[3]EPPC!$N$27</f>
        <v>0</v>
      </c>
      <c r="C77" s="31" t="s">
        <v>21</v>
      </c>
      <c r="D77" s="32">
        <f>$K$77*D80</f>
        <v>0</v>
      </c>
      <c r="E77" s="32">
        <f t="shared" ref="E77:J77" si="102">$K$77*E80</f>
        <v>0</v>
      </c>
      <c r="F77" s="32">
        <f t="shared" si="102"/>
        <v>0</v>
      </c>
      <c r="G77" s="32">
        <f t="shared" si="102"/>
        <v>0</v>
      </c>
      <c r="H77" s="32">
        <f t="shared" si="102"/>
        <v>0</v>
      </c>
      <c r="I77" s="32">
        <f t="shared" si="102"/>
        <v>17.600000000000001</v>
      </c>
      <c r="J77" s="32">
        <f t="shared" si="102"/>
        <v>0</v>
      </c>
      <c r="K77" s="33">
        <v>4.4000000000000004</v>
      </c>
      <c r="L77" s="6">
        <f>SUM(D77:J77)/K77</f>
        <v>4</v>
      </c>
      <c r="M77" s="60"/>
      <c r="N77" s="60"/>
      <c r="O77" s="67"/>
      <c r="P77" s="67"/>
      <c r="Q77" s="67"/>
      <c r="R77" s="67"/>
      <c r="S77" s="67"/>
      <c r="T77" s="67"/>
      <c r="U77" s="67"/>
      <c r="V77" s="68"/>
    </row>
    <row r="78" spans="1:22" x14ac:dyDescent="0.25">
      <c r="B78" s="35">
        <f>SUM(D78:J78)</f>
        <v>13.4120448</v>
      </c>
      <c r="C78" s="36" t="s">
        <v>23</v>
      </c>
      <c r="D78" s="37">
        <f>B79/7</f>
        <v>1.9160063999999999</v>
      </c>
      <c r="E78" s="37">
        <f>D78</f>
        <v>1.9160063999999999</v>
      </c>
      <c r="F78" s="37">
        <f>E78</f>
        <v>1.9160063999999999</v>
      </c>
      <c r="G78" s="37">
        <f>F78</f>
        <v>1.9160063999999999</v>
      </c>
      <c r="H78" s="37">
        <f>D78</f>
        <v>1.9160063999999999</v>
      </c>
      <c r="I78" s="37">
        <f>H78</f>
        <v>1.9160063999999999</v>
      </c>
      <c r="J78" s="37">
        <f>I78</f>
        <v>1.9160063999999999</v>
      </c>
      <c r="K78" s="38"/>
    </row>
    <row r="79" spans="1:22" s="8" customFormat="1" x14ac:dyDescent="0.25">
      <c r="B79" s="41">
        <f>[3]EPPC!$J$27/1000</f>
        <v>13.412044799999999</v>
      </c>
      <c r="C79" s="42" t="s">
        <v>26</v>
      </c>
      <c r="D79" s="43">
        <f t="shared" ref="D79:J79" si="103">D76+D77-D78</f>
        <v>15.4219936</v>
      </c>
      <c r="E79" s="43">
        <f t="shared" si="103"/>
        <v>13.5059872</v>
      </c>
      <c r="F79" s="43">
        <f t="shared" si="103"/>
        <v>11.589980799999999</v>
      </c>
      <c r="G79" s="43">
        <f t="shared" si="103"/>
        <v>9.6739743999999988</v>
      </c>
      <c r="H79" s="44">
        <f t="shared" si="103"/>
        <v>7.7579679999999991</v>
      </c>
      <c r="I79" s="43">
        <f t="shared" si="103"/>
        <v>23.441961599999999</v>
      </c>
      <c r="J79" s="44">
        <f t="shared" si="103"/>
        <v>21.525955199999999</v>
      </c>
      <c r="K79" s="45"/>
      <c r="L79" s="6"/>
      <c r="M79" s="1"/>
      <c r="N79" s="1"/>
      <c r="O79" s="1"/>
      <c r="P79" s="1"/>
      <c r="Q79" s="1"/>
      <c r="R79" s="1"/>
      <c r="S79" s="1"/>
      <c r="T79" s="1"/>
      <c r="U79" s="1"/>
      <c r="V79" s="7"/>
    </row>
    <row r="80" spans="1:22" s="46" customFormat="1" x14ac:dyDescent="0.25">
      <c r="A80" s="51"/>
      <c r="B80" s="58"/>
      <c r="C80" s="58"/>
      <c r="D80" s="59">
        <v>0</v>
      </c>
      <c r="E80" s="59">
        <v>0</v>
      </c>
      <c r="F80" s="59">
        <v>0</v>
      </c>
      <c r="G80" s="59">
        <v>0</v>
      </c>
      <c r="H80" s="59">
        <v>0</v>
      </c>
      <c r="I80" s="59">
        <v>4</v>
      </c>
      <c r="J80" s="59">
        <v>0</v>
      </c>
      <c r="K80" s="50"/>
      <c r="L80" s="51"/>
    </row>
    <row r="81" spans="1:22" hidden="1" x14ac:dyDescent="0.25">
      <c r="B81" s="22" t="s">
        <v>44</v>
      </c>
      <c r="C81" s="23" t="s">
        <v>20</v>
      </c>
      <c r="D81" s="62">
        <f>[3]EPPC!$I$28/1000</f>
        <v>0</v>
      </c>
      <c r="E81" s="24">
        <f t="shared" ref="E81:J81" si="104">D84</f>
        <v>0</v>
      </c>
      <c r="F81" s="25">
        <f t="shared" si="104"/>
        <v>0</v>
      </c>
      <c r="G81" s="25">
        <f t="shared" si="104"/>
        <v>0</v>
      </c>
      <c r="H81" s="25">
        <f>G84</f>
        <v>0</v>
      </c>
      <c r="I81" s="25">
        <f t="shared" si="104"/>
        <v>0</v>
      </c>
      <c r="J81" s="25">
        <f t="shared" si="104"/>
        <v>0</v>
      </c>
      <c r="K81" s="45"/>
    </row>
    <row r="82" spans="1:22" hidden="1" x14ac:dyDescent="0.25">
      <c r="B82" s="30">
        <f>[3]EPPC!$N$28</f>
        <v>0</v>
      </c>
      <c r="C82" s="31" t="s">
        <v>21</v>
      </c>
      <c r="D82" s="32">
        <f>$K$82*D85</f>
        <v>0</v>
      </c>
      <c r="E82" s="32">
        <f t="shared" ref="E82:J82" si="105">$K$82*E85</f>
        <v>0</v>
      </c>
      <c r="F82" s="32">
        <f t="shared" si="105"/>
        <v>0</v>
      </c>
      <c r="G82" s="32">
        <f t="shared" si="105"/>
        <v>0</v>
      </c>
      <c r="H82" s="32">
        <f t="shared" si="105"/>
        <v>0</v>
      </c>
      <c r="I82" s="32">
        <f t="shared" si="105"/>
        <v>0</v>
      </c>
      <c r="J82" s="32">
        <f t="shared" si="105"/>
        <v>0</v>
      </c>
      <c r="K82" s="33">
        <v>16</v>
      </c>
      <c r="L82" s="6">
        <f>SUM(D82:J82)/K82</f>
        <v>0</v>
      </c>
    </row>
    <row r="83" spans="1:22" s="7" customFormat="1" hidden="1" x14ac:dyDescent="0.25">
      <c r="B83" s="35">
        <f>SUM(D83:J83)</f>
        <v>0</v>
      </c>
      <c r="C83" s="36" t="s">
        <v>23</v>
      </c>
      <c r="D83" s="37">
        <f>B84/7</f>
        <v>0</v>
      </c>
      <c r="E83" s="37">
        <f t="shared" ref="E83:J83" si="106">D83</f>
        <v>0</v>
      </c>
      <c r="F83" s="37">
        <f t="shared" si="106"/>
        <v>0</v>
      </c>
      <c r="G83" s="37">
        <f t="shared" si="106"/>
        <v>0</v>
      </c>
      <c r="H83" s="37">
        <f t="shared" si="106"/>
        <v>0</v>
      </c>
      <c r="I83" s="37">
        <f t="shared" si="106"/>
        <v>0</v>
      </c>
      <c r="J83" s="37">
        <f t="shared" si="106"/>
        <v>0</v>
      </c>
      <c r="K83" s="38"/>
      <c r="L83" s="6"/>
      <c r="M83" s="60"/>
      <c r="N83" s="60"/>
      <c r="O83" s="67"/>
      <c r="P83" s="67"/>
      <c r="Q83" s="67"/>
      <c r="R83" s="67"/>
      <c r="S83" s="67"/>
      <c r="T83" s="67"/>
      <c r="U83" s="67"/>
      <c r="V83" s="68"/>
    </row>
    <row r="84" spans="1:22" hidden="1" x14ac:dyDescent="0.25">
      <c r="B84" s="41">
        <f>[3]EPPC!$J$28/1000</f>
        <v>0</v>
      </c>
      <c r="C84" s="42" t="s">
        <v>26</v>
      </c>
      <c r="D84" s="43">
        <f t="shared" ref="D84:J84" si="107">D81+D82-D83</f>
        <v>0</v>
      </c>
      <c r="E84" s="43">
        <f t="shared" si="107"/>
        <v>0</v>
      </c>
      <c r="F84" s="43">
        <f t="shared" si="107"/>
        <v>0</v>
      </c>
      <c r="G84" s="43">
        <f t="shared" si="107"/>
        <v>0</v>
      </c>
      <c r="H84" s="44">
        <f t="shared" si="107"/>
        <v>0</v>
      </c>
      <c r="I84" s="43">
        <f t="shared" si="107"/>
        <v>0</v>
      </c>
      <c r="J84" s="44">
        <f t="shared" si="107"/>
        <v>0</v>
      </c>
      <c r="K84" s="45"/>
    </row>
    <row r="85" spans="1:22" s="75" customFormat="1" hidden="1" x14ac:dyDescent="0.25">
      <c r="B85" s="58"/>
      <c r="C85" s="58"/>
      <c r="D85" s="59">
        <v>0</v>
      </c>
      <c r="E85" s="59">
        <v>0</v>
      </c>
      <c r="F85" s="59">
        <v>0</v>
      </c>
      <c r="G85" s="59">
        <v>0</v>
      </c>
      <c r="H85" s="59">
        <v>0</v>
      </c>
      <c r="I85" s="59">
        <v>0</v>
      </c>
      <c r="J85" s="59">
        <v>0</v>
      </c>
      <c r="K85" s="50"/>
      <c r="L85" s="51"/>
      <c r="M85" s="46"/>
      <c r="N85" s="46"/>
      <c r="O85" s="46"/>
      <c r="P85" s="46"/>
      <c r="Q85" s="46"/>
      <c r="R85" s="46"/>
      <c r="S85" s="46"/>
      <c r="T85" s="46"/>
      <c r="U85" s="46"/>
      <c r="V85" s="46"/>
    </row>
    <row r="86" spans="1:22" x14ac:dyDescent="0.25">
      <c r="A86" s="60"/>
      <c r="B86" s="22" t="s">
        <v>45</v>
      </c>
      <c r="C86" s="23" t="s">
        <v>20</v>
      </c>
      <c r="D86" s="62">
        <f>[3]EPPC!$I$29/1000</f>
        <v>86.581000000000003</v>
      </c>
      <c r="E86" s="24">
        <f t="shared" ref="E86:J86" si="108">D89</f>
        <v>70.73</v>
      </c>
      <c r="F86" s="25">
        <f t="shared" si="108"/>
        <v>174.97000000000003</v>
      </c>
      <c r="G86" s="25">
        <f t="shared" si="108"/>
        <v>151.21000000000004</v>
      </c>
      <c r="H86" s="25">
        <f t="shared" si="108"/>
        <v>183.37000000000003</v>
      </c>
      <c r="I86" s="25">
        <f t="shared" si="108"/>
        <v>167.53000000000003</v>
      </c>
      <c r="J86" s="69">
        <f t="shared" si="108"/>
        <v>151.69000000000003</v>
      </c>
      <c r="K86" s="45"/>
    </row>
    <row r="87" spans="1:22" x14ac:dyDescent="0.25">
      <c r="B87" s="30">
        <f>[3]EPPC!$N$29</f>
        <v>0</v>
      </c>
      <c r="C87" s="31" t="s">
        <v>21</v>
      </c>
      <c r="D87" s="32">
        <f>$K$87*D90</f>
        <v>0</v>
      </c>
      <c r="E87" s="32">
        <f t="shared" ref="E87:J87" si="109">$K$87*E90</f>
        <v>128</v>
      </c>
      <c r="F87" s="32">
        <f t="shared" si="109"/>
        <v>0</v>
      </c>
      <c r="G87" s="32">
        <f t="shared" si="109"/>
        <v>48</v>
      </c>
      <c r="H87" s="32">
        <f t="shared" si="109"/>
        <v>0</v>
      </c>
      <c r="I87" s="32">
        <f t="shared" si="109"/>
        <v>0</v>
      </c>
      <c r="J87" s="32">
        <f t="shared" si="109"/>
        <v>0</v>
      </c>
      <c r="K87" s="33">
        <v>16</v>
      </c>
      <c r="L87" s="6">
        <f>SUM(D87:J87)/K87</f>
        <v>11</v>
      </c>
    </row>
    <row r="88" spans="1:22" s="7" customFormat="1" x14ac:dyDescent="0.25">
      <c r="B88" s="35">
        <f>SUM(D88:J88)</f>
        <v>110.89100000000001</v>
      </c>
      <c r="C88" s="36" t="s">
        <v>23</v>
      </c>
      <c r="D88" s="37">
        <v>15.851000000000001</v>
      </c>
      <c r="E88" s="37">
        <f>7.92*3</f>
        <v>23.759999999999998</v>
      </c>
      <c r="F88" s="37">
        <f t="shared" ref="F88" si="110">7.92*3</f>
        <v>23.759999999999998</v>
      </c>
      <c r="G88" s="37">
        <f>7.92*2</f>
        <v>15.84</v>
      </c>
      <c r="H88" s="37">
        <f t="shared" ref="H88:I88" si="111">7.92*2</f>
        <v>15.84</v>
      </c>
      <c r="I88" s="37">
        <f t="shared" si="111"/>
        <v>15.84</v>
      </c>
      <c r="J88" s="37">
        <v>0</v>
      </c>
      <c r="K88" s="38"/>
      <c r="L88" s="6"/>
      <c r="M88" s="76"/>
      <c r="N88" s="60"/>
      <c r="O88" s="67"/>
      <c r="P88" s="67"/>
      <c r="Q88" s="67"/>
      <c r="R88" s="67"/>
      <c r="S88" s="67"/>
      <c r="T88" s="67"/>
      <c r="U88" s="67"/>
      <c r="V88" s="68"/>
    </row>
    <row r="89" spans="1:22" x14ac:dyDescent="0.25">
      <c r="B89" s="41">
        <f>[3]EPPC!$J$29/1000</f>
        <v>47.52</v>
      </c>
      <c r="C89" s="42" t="s">
        <v>26</v>
      </c>
      <c r="D89" s="43">
        <f t="shared" ref="D89:J89" si="112">D86+D87-D88</f>
        <v>70.73</v>
      </c>
      <c r="E89" s="43">
        <f t="shared" si="112"/>
        <v>174.97000000000003</v>
      </c>
      <c r="F89" s="43">
        <f t="shared" si="112"/>
        <v>151.21000000000004</v>
      </c>
      <c r="G89" s="43">
        <f t="shared" si="112"/>
        <v>183.37000000000003</v>
      </c>
      <c r="H89" s="44">
        <f t="shared" si="112"/>
        <v>167.53000000000003</v>
      </c>
      <c r="I89" s="43">
        <f t="shared" si="112"/>
        <v>151.69000000000003</v>
      </c>
      <c r="J89" s="44">
        <f t="shared" si="112"/>
        <v>151.69000000000003</v>
      </c>
      <c r="K89" s="45"/>
    </row>
    <row r="90" spans="1:22" s="75" customFormat="1" x14ac:dyDescent="0.25">
      <c r="B90" s="58"/>
      <c r="C90" s="58"/>
      <c r="D90" s="59">
        <v>0</v>
      </c>
      <c r="E90" s="59">
        <v>8</v>
      </c>
      <c r="F90" s="59">
        <v>0</v>
      </c>
      <c r="G90" s="59">
        <v>3</v>
      </c>
      <c r="H90" s="59">
        <v>0</v>
      </c>
      <c r="I90" s="59">
        <v>0</v>
      </c>
      <c r="J90" s="59">
        <v>0</v>
      </c>
      <c r="K90" s="50"/>
      <c r="L90" s="51"/>
      <c r="M90" s="46"/>
      <c r="N90" s="46"/>
      <c r="O90" s="46"/>
      <c r="P90" s="46"/>
      <c r="Q90" s="46"/>
      <c r="R90" s="46"/>
      <c r="S90" s="46"/>
      <c r="T90" s="46"/>
      <c r="U90" s="46"/>
      <c r="V90" s="46"/>
    </row>
    <row r="91" spans="1:22" x14ac:dyDescent="0.25">
      <c r="A91" s="60"/>
      <c r="B91" s="22" t="s">
        <v>52</v>
      </c>
      <c r="C91" s="23" t="s">
        <v>20</v>
      </c>
      <c r="D91" s="62">
        <f>[3]EPPC!$I$38/1000</f>
        <v>59.257766975912993</v>
      </c>
      <c r="E91" s="24">
        <f t="shared" ref="E91:J91" si="113">D94</f>
        <v>63.611766975913</v>
      </c>
      <c r="F91" s="24">
        <f t="shared" si="113"/>
        <v>70.441766975912998</v>
      </c>
      <c r="G91" s="25">
        <f t="shared" si="113"/>
        <v>77.961766975912994</v>
      </c>
      <c r="H91" s="25">
        <f>G94</f>
        <v>71.98776697591299</v>
      </c>
      <c r="I91" s="25">
        <f t="shared" si="113"/>
        <v>60.077766975912994</v>
      </c>
      <c r="J91" s="25">
        <f t="shared" si="113"/>
        <v>45.787766975912994</v>
      </c>
      <c r="K91" s="45"/>
      <c r="M91" s="7"/>
      <c r="N91" s="7"/>
      <c r="O91" s="7"/>
      <c r="P91" s="7"/>
      <c r="Q91" s="7"/>
      <c r="R91" s="7"/>
      <c r="S91" s="7"/>
      <c r="T91" s="7"/>
      <c r="U91" s="7"/>
    </row>
    <row r="92" spans="1:22" x14ac:dyDescent="0.25">
      <c r="B92" s="30">
        <f>[3]EPPC!$N$38</f>
        <v>20</v>
      </c>
      <c r="C92" s="31" t="s">
        <v>21</v>
      </c>
      <c r="D92" s="32">
        <f t="shared" ref="D92:J92" si="114">$K$92*O92</f>
        <v>14.580000000000002</v>
      </c>
      <c r="E92" s="32">
        <f t="shared" si="114"/>
        <v>24.3</v>
      </c>
      <c r="F92" s="32">
        <f t="shared" si="114"/>
        <v>24.3</v>
      </c>
      <c r="G92" s="32">
        <f t="shared" si="114"/>
        <v>14.580000000000002</v>
      </c>
      <c r="H92" s="32">
        <f t="shared" si="114"/>
        <v>0</v>
      </c>
      <c r="I92" s="32">
        <f t="shared" si="114"/>
        <v>0</v>
      </c>
      <c r="J92" s="32">
        <f t="shared" si="114"/>
        <v>0</v>
      </c>
      <c r="K92" s="33">
        <v>2.4300000000000002</v>
      </c>
      <c r="L92" s="6">
        <f>SUM(D92:J92)/K92</f>
        <v>32</v>
      </c>
      <c r="M92" s="77" t="s">
        <v>52</v>
      </c>
      <c r="N92" s="78">
        <f>[3]EPPC!N38</f>
        <v>20</v>
      </c>
      <c r="O92" s="79">
        <v>6</v>
      </c>
      <c r="P92" s="79">
        <v>10</v>
      </c>
      <c r="Q92" s="79">
        <v>10</v>
      </c>
      <c r="R92" s="79">
        <v>6</v>
      </c>
      <c r="S92" s="79"/>
      <c r="T92" s="79"/>
      <c r="U92" s="79"/>
      <c r="V92" s="80">
        <f>SUM(O92:U92)</f>
        <v>32</v>
      </c>
    </row>
    <row r="93" spans="1:22" x14ac:dyDescent="0.25">
      <c r="B93" s="35">
        <f>SUM(D93:J93)</f>
        <v>106.91</v>
      </c>
      <c r="C93" s="36" t="s">
        <v>53</v>
      </c>
      <c r="D93" s="37">
        <f t="shared" ref="D93:J93" si="115">(D10*0.98)+(D15*0.987)+(D25*1.802)+(D30*1.189)+(D35*1.409)+(D40*0.966)+(D45*1.216)+(D50*0.324)+(D55*0)+(D60*0.651)+(D65*0.502)+(D70*0.906)+(D75*0.906)+(D80*0.368)+(D85*0.925)+(D90*1.43)</f>
        <v>10.225999999999999</v>
      </c>
      <c r="E93" s="37">
        <f t="shared" si="115"/>
        <v>17.47</v>
      </c>
      <c r="F93" s="37">
        <f>(F10*0.98)+(F15*0.987)+(F25*1.802)+(F30*1.189)+(F35*1.409)+(F40*0.966)+(F45*1.216)+(F50*0.324)+(F55*0)+(F60*0.651)+(F65*0.502)+(F70*0.906)+(F75*0.906)+(F80*0.368)+(F85*0.925)+(F90*1.43)</f>
        <v>16.779999999999998</v>
      </c>
      <c r="G93" s="37">
        <f t="shared" si="115"/>
        <v>20.553999999999998</v>
      </c>
      <c r="H93" s="37">
        <f>(H10*0.98)+(H15*0.987)+(H25*1.802)+(H30*1.189)+(H35*1.409)+(H40*0.966)+(H45*1.216)+(H50*0.324)+(H55*0)+(H60*0.651)+(H65*0.502)+(H70*0.906)+(H75*0.906)+(H80*0.368)+(H85*0.925)+(H90*1.43)</f>
        <v>11.91</v>
      </c>
      <c r="I93" s="37">
        <f t="shared" si="115"/>
        <v>14.29</v>
      </c>
      <c r="J93" s="37">
        <f t="shared" si="115"/>
        <v>15.68</v>
      </c>
      <c r="K93" s="81"/>
      <c r="M93" s="82" t="s">
        <v>54</v>
      </c>
      <c r="N93" s="78">
        <f>[3]EPPC!N40</f>
        <v>2</v>
      </c>
      <c r="O93" s="79"/>
      <c r="P93" s="79"/>
      <c r="Q93" s="79"/>
      <c r="R93" s="79"/>
      <c r="S93" s="79"/>
      <c r="T93" s="79"/>
      <c r="U93" s="79"/>
      <c r="V93" s="80">
        <f>SUM(O93:U93)</f>
        <v>0</v>
      </c>
    </row>
    <row r="94" spans="1:22" s="7" customFormat="1" x14ac:dyDescent="0.25">
      <c r="B94" s="83"/>
      <c r="C94" s="42" t="s">
        <v>26</v>
      </c>
      <c r="D94" s="43">
        <f t="shared" ref="D94:J94" si="116">D91+D92-D93</f>
        <v>63.611766975913</v>
      </c>
      <c r="E94" s="43">
        <f t="shared" si="116"/>
        <v>70.441766975912998</v>
      </c>
      <c r="F94" s="43">
        <f t="shared" si="116"/>
        <v>77.961766975912994</v>
      </c>
      <c r="G94" s="43">
        <f t="shared" si="116"/>
        <v>71.98776697591299</v>
      </c>
      <c r="H94" s="44">
        <f t="shared" si="116"/>
        <v>60.077766975912994</v>
      </c>
      <c r="I94" s="43">
        <f t="shared" si="116"/>
        <v>45.787766975912994</v>
      </c>
      <c r="J94" s="44">
        <f t="shared" si="116"/>
        <v>30.107766975912995</v>
      </c>
      <c r="K94" s="5"/>
      <c r="L94" s="6"/>
      <c r="M94" s="82">
        <v>0</v>
      </c>
      <c r="N94" s="78">
        <f>[3]EPPC!N41</f>
        <v>0</v>
      </c>
      <c r="O94" s="79"/>
      <c r="P94" s="79"/>
      <c r="Q94" s="79"/>
      <c r="R94" s="79"/>
      <c r="S94" s="79"/>
      <c r="T94" s="79"/>
      <c r="U94" s="79"/>
      <c r="V94" s="80">
        <f>SUM(O94:U94)</f>
        <v>0</v>
      </c>
    </row>
    <row r="95" spans="1:22" s="8" customFormat="1" ht="4.2" x14ac:dyDescent="0.25">
      <c r="B95" s="84"/>
      <c r="C95" s="84"/>
      <c r="D95" s="85"/>
      <c r="E95" s="85"/>
      <c r="F95" s="85"/>
      <c r="G95" s="85"/>
      <c r="H95" s="85"/>
      <c r="I95" s="85"/>
      <c r="J95" s="85"/>
      <c r="K95" s="86"/>
      <c r="L95" s="87"/>
      <c r="V95" s="11"/>
    </row>
    <row r="96" spans="1:22" hidden="1" x14ac:dyDescent="0.25">
      <c r="B96" s="22" t="s">
        <v>55</v>
      </c>
      <c r="C96" s="23" t="s">
        <v>20</v>
      </c>
      <c r="D96" s="62" t="e">
        <f>[3]EPPC!$I$39/1000</f>
        <v>#REF!</v>
      </c>
      <c r="E96" s="24" t="e">
        <f t="shared" ref="E96:J96" si="117">D99</f>
        <v>#REF!</v>
      </c>
      <c r="F96" s="25" t="e">
        <f t="shared" si="117"/>
        <v>#REF!</v>
      </c>
      <c r="G96" s="25" t="e">
        <f t="shared" si="117"/>
        <v>#REF!</v>
      </c>
      <c r="H96" s="25" t="e">
        <f>G99</f>
        <v>#REF!</v>
      </c>
      <c r="I96" s="25" t="e">
        <f t="shared" si="117"/>
        <v>#REF!</v>
      </c>
      <c r="J96" s="25" t="e">
        <f t="shared" si="117"/>
        <v>#REF!</v>
      </c>
      <c r="K96" s="45"/>
      <c r="M96" s="8"/>
      <c r="N96" s="8"/>
      <c r="O96" s="8"/>
      <c r="P96" s="8"/>
      <c r="Q96" s="8"/>
      <c r="R96" s="8"/>
      <c r="S96" s="8"/>
      <c r="T96" s="8"/>
      <c r="U96" s="8"/>
      <c r="V96" s="11"/>
    </row>
    <row r="97" spans="1:22" s="8" customFormat="1" hidden="1" x14ac:dyDescent="0.25">
      <c r="B97" s="30" t="e">
        <f>[3]EPPC!$N$39</f>
        <v>#REF!</v>
      </c>
      <c r="C97" s="31" t="s">
        <v>21</v>
      </c>
      <c r="D97" s="32">
        <f t="shared" ref="D97:J97" si="118">$K$97*O98</f>
        <v>0</v>
      </c>
      <c r="E97" s="32">
        <f t="shared" si="118"/>
        <v>0</v>
      </c>
      <c r="F97" s="32">
        <f t="shared" si="118"/>
        <v>0</v>
      </c>
      <c r="G97" s="32">
        <f t="shared" si="118"/>
        <v>0</v>
      </c>
      <c r="H97" s="32">
        <f t="shared" si="118"/>
        <v>0</v>
      </c>
      <c r="I97" s="32">
        <f t="shared" si="118"/>
        <v>0</v>
      </c>
      <c r="J97" s="32">
        <f t="shared" si="118"/>
        <v>0</v>
      </c>
      <c r="K97" s="33">
        <v>2.4300000000000002</v>
      </c>
      <c r="L97" s="6">
        <f>SUM(D97:J97)/K97</f>
        <v>0</v>
      </c>
      <c r="M97" s="82" t="s">
        <v>56</v>
      </c>
      <c r="N97" s="78">
        <f>[3]EPPC!N40</f>
        <v>2</v>
      </c>
      <c r="O97" s="79"/>
      <c r="P97" s="79"/>
      <c r="Q97" s="79"/>
      <c r="R97" s="79"/>
      <c r="S97" s="79"/>
      <c r="T97" s="79"/>
      <c r="U97" s="79"/>
      <c r="V97" s="80">
        <f>SUM(O97:U97)</f>
        <v>0</v>
      </c>
    </row>
    <row r="98" spans="1:22" hidden="1" x14ac:dyDescent="0.25">
      <c r="A98" s="60"/>
      <c r="B98" s="35">
        <f>SUM(D98:J98)</f>
        <v>0</v>
      </c>
      <c r="C98" s="36" t="s">
        <v>53</v>
      </c>
      <c r="D98" s="37"/>
      <c r="E98" s="37"/>
      <c r="F98" s="37"/>
      <c r="G98" s="37"/>
      <c r="H98" s="37"/>
      <c r="I98" s="37"/>
      <c r="J98" s="37"/>
      <c r="K98" s="81"/>
      <c r="M98" s="82" t="s">
        <v>55</v>
      </c>
      <c r="N98" s="78" t="e">
        <f>[3]EPPC!N39</f>
        <v>#REF!</v>
      </c>
      <c r="O98" s="79"/>
      <c r="P98" s="79"/>
      <c r="Q98" s="79"/>
      <c r="R98" s="79"/>
      <c r="S98" s="79"/>
      <c r="T98" s="79"/>
      <c r="U98" s="79"/>
      <c r="V98" s="80">
        <f>SUM(O98:U98)</f>
        <v>0</v>
      </c>
    </row>
    <row r="99" spans="1:22" hidden="1" x14ac:dyDescent="0.25">
      <c r="B99" s="83"/>
      <c r="C99" s="42" t="s">
        <v>26</v>
      </c>
      <c r="D99" s="43" t="e">
        <f t="shared" ref="D99:J99" si="119">D96+D97-D98</f>
        <v>#REF!</v>
      </c>
      <c r="E99" s="43" t="e">
        <f t="shared" si="119"/>
        <v>#REF!</v>
      </c>
      <c r="F99" s="43" t="e">
        <f t="shared" si="119"/>
        <v>#REF!</v>
      </c>
      <c r="G99" s="43" t="e">
        <f t="shared" si="119"/>
        <v>#REF!</v>
      </c>
      <c r="H99" s="44" t="e">
        <f t="shared" si="119"/>
        <v>#REF!</v>
      </c>
      <c r="I99" s="43" t="e">
        <f t="shared" si="119"/>
        <v>#REF!</v>
      </c>
      <c r="J99" s="44" t="e">
        <f t="shared" si="119"/>
        <v>#REF!</v>
      </c>
      <c r="M99" s="84"/>
      <c r="N99" s="84"/>
      <c r="O99" s="88"/>
      <c r="P99" s="88"/>
      <c r="Q99" s="88"/>
      <c r="R99" s="88"/>
      <c r="S99" s="88"/>
      <c r="T99" s="88"/>
      <c r="U99" s="88"/>
      <c r="V99" s="84"/>
    </row>
    <row r="100" spans="1:22" s="8" customFormat="1" ht="4.2" hidden="1" x14ac:dyDescent="0.25">
      <c r="B100" s="84"/>
      <c r="C100" s="84"/>
      <c r="D100" s="85"/>
      <c r="E100" s="85"/>
      <c r="F100" s="85"/>
      <c r="G100" s="85"/>
      <c r="H100" s="85"/>
      <c r="I100" s="85"/>
      <c r="J100" s="85"/>
      <c r="K100" s="86"/>
      <c r="L100" s="87"/>
      <c r="V100" s="11"/>
    </row>
    <row r="101" spans="1:22" s="7" customFormat="1" hidden="1" x14ac:dyDescent="0.25">
      <c r="B101" s="22" t="s">
        <v>57</v>
      </c>
      <c r="C101" s="23" t="s">
        <v>20</v>
      </c>
      <c r="D101" s="62">
        <f>[3]EPPC!$I$47/1000</f>
        <v>31.881578817611008</v>
      </c>
      <c r="E101" s="24">
        <f t="shared" ref="E101:J101" si="120">D104</f>
        <v>27.06357881761101</v>
      </c>
      <c r="F101" s="25">
        <f t="shared" si="120"/>
        <v>14.001578817611009</v>
      </c>
      <c r="G101" s="25">
        <f t="shared" si="120"/>
        <v>-1.9184211823889914</v>
      </c>
      <c r="H101" s="25">
        <f>G104</f>
        <v>-16.264421182388993</v>
      </c>
      <c r="I101" s="25">
        <f t="shared" si="120"/>
        <v>-28.052421182388994</v>
      </c>
      <c r="J101" s="25">
        <f t="shared" si="120"/>
        <v>-39.948421182388991</v>
      </c>
      <c r="K101" s="45"/>
      <c r="L101" s="6"/>
      <c r="M101" s="84"/>
      <c r="N101" s="84"/>
      <c r="O101" s="84"/>
      <c r="P101" s="84"/>
      <c r="Q101" s="84"/>
      <c r="R101" s="84"/>
      <c r="S101" s="84"/>
      <c r="T101" s="84"/>
      <c r="U101" s="84"/>
      <c r="V101" s="84"/>
    </row>
    <row r="102" spans="1:22" s="8" customFormat="1" hidden="1" x14ac:dyDescent="0.25">
      <c r="B102" s="30" t="e">
        <f>[3]EPPC!$N$47</f>
        <v>#REF!</v>
      </c>
      <c r="C102" s="31" t="s">
        <v>21</v>
      </c>
      <c r="D102" s="32">
        <f t="shared" ref="D102:J102" si="121">$K$102*O103</f>
        <v>0</v>
      </c>
      <c r="E102" s="32">
        <f t="shared" si="121"/>
        <v>0</v>
      </c>
      <c r="F102" s="32">
        <f t="shared" si="121"/>
        <v>0</v>
      </c>
      <c r="G102" s="32">
        <f t="shared" si="121"/>
        <v>0</v>
      </c>
      <c r="H102" s="32">
        <f t="shared" si="121"/>
        <v>0</v>
      </c>
      <c r="I102" s="32">
        <f t="shared" si="121"/>
        <v>0</v>
      </c>
      <c r="J102" s="32">
        <f t="shared" si="121"/>
        <v>0</v>
      </c>
      <c r="K102" s="33">
        <v>5</v>
      </c>
      <c r="L102" s="6">
        <f>SUM(D102:J102)/K102</f>
        <v>0</v>
      </c>
      <c r="M102" s="1"/>
      <c r="N102" s="1"/>
      <c r="O102" s="1"/>
      <c r="P102" s="1"/>
      <c r="Q102" s="1"/>
      <c r="R102" s="1"/>
      <c r="S102" s="1"/>
      <c r="T102" s="1"/>
      <c r="U102" s="1"/>
      <c r="V102" s="7"/>
    </row>
    <row r="103" spans="1:22" s="8" customFormat="1" hidden="1" x14ac:dyDescent="0.25">
      <c r="B103" s="35">
        <f>SUM(D103:J103)</f>
        <v>87.206000000000003</v>
      </c>
      <c r="C103" s="36" t="s">
        <v>53</v>
      </c>
      <c r="D103" s="37">
        <f t="shared" ref="D103:J103" si="122">(D10*0.961)+(D15*1.039)+(D25*0.8)+(D30*0.802)+(D35*0.791)+(D40*0.995)+(D45*0.818)+(D50*0.956)+(D60*0)+(D65*0.734)+(D75*0)+(D80*0.167)+(D85*0)+(D90*0.88)</f>
        <v>4.8179999999999996</v>
      </c>
      <c r="E103" s="37">
        <f t="shared" si="122"/>
        <v>13.062000000000001</v>
      </c>
      <c r="F103" s="37">
        <f>(F10*0.961)+(F15*1.039)+(F25*0.8)+(F30*0.802)+(F35*0.791)+(F40*0.995)+(F45*0.818)+(F50*0.956)+(F60*0)+(F65*0.734)+(F75*0)+(F80*0.167)+(F85*0)+(F90*0.88)</f>
        <v>15.92</v>
      </c>
      <c r="G103" s="37">
        <f t="shared" si="122"/>
        <v>14.346</v>
      </c>
      <c r="H103" s="37">
        <f>(H10*0.961)+(H15*1.039)+(H25*0.8)+(H30*0.802)+(H35*0.791)+(H40*0.995)+(H45*0.818)+(H50*0.956)+(H60*0)+(H65*0.734)+(H75*0)+(H80*0.167)+(H85*0)+(H90*0.88)</f>
        <v>11.788</v>
      </c>
      <c r="I103" s="37">
        <f t="shared" si="122"/>
        <v>11.895999999999999</v>
      </c>
      <c r="J103" s="37">
        <f t="shared" si="122"/>
        <v>15.375999999999999</v>
      </c>
      <c r="K103" s="1"/>
      <c r="L103" s="6"/>
      <c r="M103" s="77" t="s">
        <v>57</v>
      </c>
      <c r="N103" s="78" t="e">
        <f>[3]EPPC!N47</f>
        <v>#REF!</v>
      </c>
      <c r="O103" s="79"/>
      <c r="P103" s="79"/>
      <c r="Q103" s="79"/>
      <c r="R103" s="79"/>
      <c r="S103" s="79"/>
      <c r="T103" s="79"/>
      <c r="U103" s="79"/>
      <c r="V103" s="80">
        <f>SUM(O103:U103)</f>
        <v>0</v>
      </c>
    </row>
    <row r="104" spans="1:22" hidden="1" x14ac:dyDescent="0.25">
      <c r="B104" s="83"/>
      <c r="C104" s="42" t="s">
        <v>26</v>
      </c>
      <c r="D104" s="43">
        <f t="shared" ref="D104:J104" si="123">D101+D102-D103</f>
        <v>27.06357881761101</v>
      </c>
      <c r="E104" s="43">
        <f t="shared" si="123"/>
        <v>14.001578817611009</v>
      </c>
      <c r="F104" s="43">
        <f t="shared" si="123"/>
        <v>-1.9184211823889914</v>
      </c>
      <c r="G104" s="43">
        <f t="shared" si="123"/>
        <v>-16.264421182388993</v>
      </c>
      <c r="H104" s="44">
        <f t="shared" si="123"/>
        <v>-28.052421182388994</v>
      </c>
      <c r="I104" s="43">
        <f t="shared" si="123"/>
        <v>-39.948421182388991</v>
      </c>
      <c r="J104" s="44">
        <f t="shared" si="123"/>
        <v>-55.324421182388988</v>
      </c>
    </row>
    <row r="105" spans="1:22" s="8" customFormat="1" ht="4.2" x14ac:dyDescent="0.25">
      <c r="B105" s="84"/>
      <c r="C105" s="84"/>
      <c r="D105" s="85"/>
      <c r="E105" s="85"/>
      <c r="F105" s="85"/>
      <c r="G105" s="85"/>
      <c r="H105" s="85"/>
      <c r="I105" s="85"/>
      <c r="J105" s="85"/>
      <c r="K105" s="86"/>
      <c r="L105" s="87"/>
      <c r="M105" s="89"/>
      <c r="N105" s="90"/>
      <c r="O105" s="91"/>
      <c r="P105" s="91"/>
      <c r="Q105" s="91"/>
      <c r="R105" s="91"/>
      <c r="S105" s="91"/>
      <c r="T105" s="91"/>
      <c r="U105" s="91"/>
      <c r="V105" s="90"/>
    </row>
    <row r="106" spans="1:22" s="7" customFormat="1" x14ac:dyDescent="0.25">
      <c r="B106" s="22" t="s">
        <v>58</v>
      </c>
      <c r="C106" s="23" t="s">
        <v>20</v>
      </c>
      <c r="D106" s="62">
        <f>[3]EPPC!$I$34/1000</f>
        <v>469.56</v>
      </c>
      <c r="E106" s="24">
        <f t="shared" ref="E106:J106" si="124">D109</f>
        <v>472.27499999999998</v>
      </c>
      <c r="F106" s="25">
        <f t="shared" si="124"/>
        <v>469.37799999999999</v>
      </c>
      <c r="G106" s="25">
        <f t="shared" si="124"/>
        <v>475.52099999999996</v>
      </c>
      <c r="H106" s="25">
        <f>G109</f>
        <v>475.70299999999997</v>
      </c>
      <c r="I106" s="25">
        <f t="shared" si="124"/>
        <v>481.84599999999995</v>
      </c>
      <c r="J106" s="25">
        <f t="shared" si="124"/>
        <v>486.46899999999994</v>
      </c>
      <c r="K106" s="45"/>
      <c r="L106" s="6"/>
      <c r="M106" s="84"/>
      <c r="N106" s="84"/>
      <c r="O106" s="84"/>
      <c r="P106" s="84"/>
      <c r="Q106" s="84"/>
      <c r="R106" s="84"/>
      <c r="S106" s="84"/>
      <c r="T106" s="84"/>
      <c r="U106" s="84"/>
      <c r="V106" s="84"/>
    </row>
    <row r="107" spans="1:22" s="8" customFormat="1" x14ac:dyDescent="0.25">
      <c r="B107" s="30">
        <f>[3]EPPC!$N$34</f>
        <v>6</v>
      </c>
      <c r="C107" s="31" t="s">
        <v>21</v>
      </c>
      <c r="D107" s="32">
        <f t="shared" ref="D107:J107" si="125">$K$107*O108</f>
        <v>7</v>
      </c>
      <c r="E107" s="32">
        <f t="shared" si="125"/>
        <v>7</v>
      </c>
      <c r="F107" s="32">
        <f t="shared" si="125"/>
        <v>7</v>
      </c>
      <c r="G107" s="32">
        <f t="shared" si="125"/>
        <v>7</v>
      </c>
      <c r="H107" s="32">
        <f t="shared" si="125"/>
        <v>7</v>
      </c>
      <c r="I107" s="32">
        <f t="shared" si="125"/>
        <v>7</v>
      </c>
      <c r="J107" s="32">
        <f t="shared" si="125"/>
        <v>3.5</v>
      </c>
      <c r="K107" s="33">
        <v>3.5</v>
      </c>
      <c r="L107" s="6">
        <f>SUM(D107:J107)/K107</f>
        <v>13</v>
      </c>
      <c r="M107" s="82" t="s">
        <v>59</v>
      </c>
      <c r="N107" s="78">
        <f>[3]EPPC!N35</f>
        <v>0</v>
      </c>
      <c r="O107" s="79"/>
      <c r="P107" s="79"/>
      <c r="Q107" s="79"/>
      <c r="R107" s="79"/>
      <c r="S107" s="79"/>
      <c r="T107" s="79"/>
      <c r="U107" s="79"/>
      <c r="V107" s="80">
        <f>SUM(O107:U107)</f>
        <v>0</v>
      </c>
    </row>
    <row r="108" spans="1:22" s="84" customFormat="1" x14ac:dyDescent="0.25">
      <c r="A108" s="8"/>
      <c r="B108" s="35">
        <f>SUM(D108:J108)</f>
        <v>25.090999999999998</v>
      </c>
      <c r="C108" s="36" t="s">
        <v>53</v>
      </c>
      <c r="D108" s="37">
        <f t="shared" ref="D108:J108" si="126">(D10*0)+(D15*0)+(D25*0.857)+(D30*1.17)+(D35*1.411)+(D40*0)+(D50*0)+(D60*0.58)+(D65*0)+(D75*0.43)+(D80*0.38)+(D85*0.78)+(D90*1.13)</f>
        <v>4.2850000000000001</v>
      </c>
      <c r="E108" s="37">
        <f t="shared" si="126"/>
        <v>9.8969999999999985</v>
      </c>
      <c r="F108" s="37">
        <f>(F10*0)+(F15*0)+(F25*0.857)+(F30*1.17)+(F35*1.411)+(F40*0)+(F50*0)+(F60*0.58)+(F65*0)+(F75*0.43)+(F80*0.38)+(F85*0.78)+(F90*1.13)</f>
        <v>0.85699999999999998</v>
      </c>
      <c r="G108" s="37">
        <f t="shared" si="126"/>
        <v>6.8179999999999996</v>
      </c>
      <c r="H108" s="37">
        <f>(H10*0)+(H15*0)+(H25*0.857)+(H30*1.17)+(H35*1.411)+(H40*0)+(H50*0)+(H60*0.58)+(H65*0)+(H75*0.43)+(H80*0.38)+(H85*0.78)+(H90*1.13)</f>
        <v>0.85699999999999998</v>
      </c>
      <c r="I108" s="37">
        <f t="shared" si="126"/>
        <v>2.3769999999999998</v>
      </c>
      <c r="J108" s="37">
        <f t="shared" si="126"/>
        <v>0</v>
      </c>
      <c r="K108" s="81"/>
      <c r="L108" s="6"/>
      <c r="M108" s="82" t="s">
        <v>60</v>
      </c>
      <c r="N108" s="78">
        <f>[3]EPPC!N33+[3]EPPC!N34</f>
        <v>7</v>
      </c>
      <c r="O108" s="79">
        <v>2</v>
      </c>
      <c r="P108" s="79">
        <v>2</v>
      </c>
      <c r="Q108" s="79">
        <v>2</v>
      </c>
      <c r="R108" s="79">
        <v>2</v>
      </c>
      <c r="S108" s="79">
        <v>2</v>
      </c>
      <c r="T108" s="79">
        <v>2</v>
      </c>
      <c r="U108" s="79">
        <v>1</v>
      </c>
      <c r="V108" s="80">
        <f>SUM(O108:U108)</f>
        <v>13</v>
      </c>
    </row>
    <row r="109" spans="1:22" x14ac:dyDescent="0.25">
      <c r="B109" s="83"/>
      <c r="C109" s="42" t="s">
        <v>26</v>
      </c>
      <c r="D109" s="43">
        <f t="shared" ref="D109:J109" si="127">D106+D107-D108</f>
        <v>472.27499999999998</v>
      </c>
      <c r="E109" s="43">
        <f t="shared" si="127"/>
        <v>469.37799999999999</v>
      </c>
      <c r="F109" s="43">
        <f t="shared" si="127"/>
        <v>475.52099999999996</v>
      </c>
      <c r="G109" s="43">
        <f t="shared" si="127"/>
        <v>475.70299999999997</v>
      </c>
      <c r="H109" s="44">
        <f t="shared" si="127"/>
        <v>481.84599999999995</v>
      </c>
      <c r="I109" s="43">
        <f t="shared" si="127"/>
        <v>486.46899999999994</v>
      </c>
      <c r="J109" s="44">
        <f t="shared" si="127"/>
        <v>489.96899999999994</v>
      </c>
      <c r="M109" s="82" t="s">
        <v>61</v>
      </c>
      <c r="N109" s="78">
        <f>[3]EPPC!N36</f>
        <v>0</v>
      </c>
      <c r="O109" s="79"/>
      <c r="P109" s="79"/>
      <c r="Q109" s="79"/>
      <c r="R109" s="79"/>
      <c r="S109" s="79"/>
      <c r="T109" s="79"/>
      <c r="U109" s="79"/>
      <c r="V109" s="80">
        <f>SUM(O109:U109)</f>
        <v>0</v>
      </c>
    </row>
    <row r="110" spans="1:22" s="8" customFormat="1" ht="4.2" x14ac:dyDescent="0.25">
      <c r="B110" s="84"/>
      <c r="C110" s="84"/>
      <c r="D110" s="85"/>
      <c r="E110" s="85"/>
      <c r="F110" s="85"/>
      <c r="G110" s="85"/>
      <c r="H110" s="85"/>
      <c r="I110" s="85"/>
      <c r="J110" s="85"/>
      <c r="K110" s="86"/>
      <c r="L110" s="87"/>
      <c r="M110" s="89"/>
      <c r="N110" s="90"/>
      <c r="O110" s="91"/>
      <c r="P110" s="91"/>
      <c r="Q110" s="91"/>
      <c r="R110" s="91"/>
      <c r="S110" s="91"/>
      <c r="T110" s="91"/>
      <c r="U110" s="91"/>
      <c r="V110" s="90"/>
    </row>
    <row r="111" spans="1:22" s="7" customFormat="1" ht="13.5" hidden="1" customHeight="1" x14ac:dyDescent="0.25">
      <c r="B111" s="22" t="s">
        <v>62</v>
      </c>
      <c r="C111" s="23" t="s">
        <v>20</v>
      </c>
      <c r="D111" s="62">
        <f>[3]EPPC!$I$44/1000</f>
        <v>124.23257989677612</v>
      </c>
      <c r="E111" s="24">
        <f t="shared" ref="E111:J111" si="128">D114</f>
        <v>102.46757989677612</v>
      </c>
      <c r="F111" s="25">
        <f t="shared" si="128"/>
        <v>52.10257989677612</v>
      </c>
      <c r="G111" s="25">
        <f t="shared" si="128"/>
        <v>-16.840420103223877</v>
      </c>
      <c r="H111" s="25">
        <f>G114</f>
        <v>-78.013420103223865</v>
      </c>
      <c r="I111" s="25">
        <f t="shared" si="128"/>
        <v>-124.77442010322386</v>
      </c>
      <c r="J111" s="25">
        <f t="shared" si="128"/>
        <v>-179.26742010322386</v>
      </c>
      <c r="K111" s="45"/>
      <c r="L111" s="6"/>
      <c r="M111" s="84"/>
      <c r="N111" s="84"/>
      <c r="O111" s="84"/>
      <c r="P111" s="84"/>
      <c r="Q111" s="84"/>
      <c r="R111" s="84"/>
      <c r="S111" s="84"/>
      <c r="T111" s="84"/>
      <c r="U111" s="84"/>
      <c r="V111" s="84"/>
    </row>
    <row r="112" spans="1:22" s="92" customFormat="1" hidden="1" x14ac:dyDescent="0.25">
      <c r="B112" s="30">
        <f>[3]EPPC!$N$44</f>
        <v>27</v>
      </c>
      <c r="C112" s="31" t="s">
        <v>21</v>
      </c>
      <c r="D112" s="32">
        <f>$K$112*O113</f>
        <v>0</v>
      </c>
      <c r="E112" s="32">
        <f t="shared" ref="E112:J112" si="129">$K$112*P113</f>
        <v>0</v>
      </c>
      <c r="F112" s="32">
        <f t="shared" si="129"/>
        <v>0</v>
      </c>
      <c r="G112" s="32">
        <f t="shared" si="129"/>
        <v>0</v>
      </c>
      <c r="H112" s="32">
        <f t="shared" si="129"/>
        <v>0</v>
      </c>
      <c r="I112" s="32">
        <f t="shared" si="129"/>
        <v>0</v>
      </c>
      <c r="J112" s="32">
        <f t="shared" si="129"/>
        <v>0</v>
      </c>
      <c r="K112" s="33">
        <v>12</v>
      </c>
      <c r="L112" s="6">
        <f>SUM(D112:J112)/K112</f>
        <v>0</v>
      </c>
      <c r="M112" s="1"/>
      <c r="N112" s="1"/>
      <c r="O112" s="1"/>
      <c r="P112" s="1"/>
      <c r="Q112" s="1"/>
      <c r="R112" s="1"/>
      <c r="S112" s="1"/>
      <c r="T112" s="1"/>
      <c r="U112" s="1"/>
      <c r="V112" s="7"/>
    </row>
    <row r="113" spans="1:32" s="84" customFormat="1" hidden="1" x14ac:dyDescent="0.25">
      <c r="A113" s="8"/>
      <c r="B113" s="35">
        <f>SUM(D113:J113)</f>
        <v>368.3</v>
      </c>
      <c r="C113" s="36" t="s">
        <v>53</v>
      </c>
      <c r="D113" s="93">
        <f t="shared" ref="D113:J113" si="130">(D10*4.05)+(D15*4.3)+(D25*3.456)+(D30*3.648)+(D35*3.453)+(D40*4.951)+(D45*4.485)+(D50*4.948)+(D60*1.694)+(D65*2.42)+(D75*1.67)+(D80*1.513)+(D85*1.812)+(D90*3.488)</f>
        <v>21.765000000000001</v>
      </c>
      <c r="E113" s="93">
        <f t="shared" si="130"/>
        <v>50.364999999999995</v>
      </c>
      <c r="F113" s="93">
        <f>(F10*4.05)+(F15*4.3)+(F25*3.456)+(F30*3.648)+(F35*3.453)+(F40*4.951)+(F45*4.485)+(F50*4.948)+(F60*1.694)+(F65*2.42)+(F75*1.67)+(F80*1.513)+(F85*1.812)+(F90*3.488)</f>
        <v>68.942999999999998</v>
      </c>
      <c r="G113" s="93">
        <f t="shared" si="130"/>
        <v>61.172999999999995</v>
      </c>
      <c r="H113" s="93">
        <f>(H10*4.05)+(H15*4.3)+(H25*3.456)+(H30*3.648)+(H35*3.453)+(H40*4.951)+(H45*4.485)+(H50*4.948)+(H60*1.694)+(H65*2.42)+(H75*1.67)+(H80*1.513)+(H85*1.812)+(H90*3.488)</f>
        <v>46.760999999999996</v>
      </c>
      <c r="I113" s="93">
        <f t="shared" si="130"/>
        <v>54.493000000000002</v>
      </c>
      <c r="J113" s="93">
        <f t="shared" si="130"/>
        <v>64.8</v>
      </c>
      <c r="K113" s="81"/>
      <c r="L113" s="6"/>
      <c r="M113" s="82" t="s">
        <v>62</v>
      </c>
      <c r="N113" s="78">
        <f>[3]EPPC!N44</f>
        <v>27</v>
      </c>
      <c r="O113" s="79"/>
      <c r="P113" s="79"/>
      <c r="Q113" s="79"/>
      <c r="R113" s="79"/>
      <c r="S113" s="79"/>
      <c r="T113" s="79"/>
      <c r="U113" s="79"/>
      <c r="V113" s="80">
        <f>SUM(O113:U113)</f>
        <v>0</v>
      </c>
    </row>
    <row r="114" spans="1:32" hidden="1" x14ac:dyDescent="0.25">
      <c r="B114" s="83"/>
      <c r="C114" s="42" t="s">
        <v>26</v>
      </c>
      <c r="D114" s="43">
        <f t="shared" ref="D114:J114" si="131">D111+D112-D113</f>
        <v>102.46757989677612</v>
      </c>
      <c r="E114" s="43">
        <f t="shared" si="131"/>
        <v>52.10257989677612</v>
      </c>
      <c r="F114" s="43">
        <f t="shared" si="131"/>
        <v>-16.840420103223877</v>
      </c>
      <c r="G114" s="43">
        <f t="shared" si="131"/>
        <v>-78.013420103223865</v>
      </c>
      <c r="H114" s="44">
        <f t="shared" si="131"/>
        <v>-124.77442010322386</v>
      </c>
      <c r="I114" s="43">
        <f t="shared" si="131"/>
        <v>-179.26742010322386</v>
      </c>
      <c r="J114" s="44">
        <f t="shared" si="131"/>
        <v>-244.06742010322387</v>
      </c>
      <c r="M114" s="82" t="s">
        <v>63</v>
      </c>
      <c r="N114" s="78">
        <f>+[3]EPPC!N45</f>
        <v>0</v>
      </c>
      <c r="O114" s="79"/>
      <c r="P114" s="79"/>
      <c r="Q114" s="79"/>
      <c r="R114" s="79"/>
      <c r="S114" s="79"/>
      <c r="T114" s="79"/>
      <c r="U114" s="79"/>
      <c r="V114" s="80">
        <f>SUM(O114:U114)</f>
        <v>0</v>
      </c>
    </row>
    <row r="115" spans="1:32" s="8" customFormat="1" ht="4.2" hidden="1" x14ac:dyDescent="0.25">
      <c r="B115" s="84"/>
      <c r="C115" s="84"/>
      <c r="D115" s="85"/>
      <c r="E115" s="85"/>
      <c r="F115" s="85"/>
      <c r="G115" s="85"/>
      <c r="H115" s="85"/>
      <c r="I115" s="85"/>
      <c r="J115" s="85"/>
      <c r="K115" s="86"/>
      <c r="L115" s="87"/>
      <c r="N115" s="94"/>
      <c r="V115" s="94"/>
    </row>
    <row r="116" spans="1:32" s="7" customFormat="1" hidden="1" x14ac:dyDescent="0.25">
      <c r="B116" s="22" t="s">
        <v>64</v>
      </c>
      <c r="C116" s="23" t="s">
        <v>20</v>
      </c>
      <c r="D116" s="62">
        <f>[3]EPPC!$I$50/1000</f>
        <v>46.306043405023843</v>
      </c>
      <c r="E116" s="24">
        <f t="shared" ref="E116:J116" si="132">D119</f>
        <v>41.073043405023839</v>
      </c>
      <c r="F116" s="25">
        <f t="shared" si="132"/>
        <v>30.446043405023836</v>
      </c>
      <c r="G116" s="25">
        <f t="shared" si="132"/>
        <v>12.379043405023836</v>
      </c>
      <c r="H116" s="25">
        <f t="shared" si="132"/>
        <v>-4.8829565949761644</v>
      </c>
      <c r="I116" s="25">
        <f t="shared" si="132"/>
        <v>-16.029956594976163</v>
      </c>
      <c r="J116" s="25">
        <f t="shared" si="132"/>
        <v>-31.126956594976164</v>
      </c>
      <c r="K116" s="45"/>
      <c r="L116" s="6"/>
      <c r="M116" s="84"/>
      <c r="N116" s="84"/>
      <c r="O116" s="84"/>
      <c r="P116" s="84"/>
      <c r="Q116" s="84"/>
      <c r="R116" s="84"/>
      <c r="S116" s="84"/>
      <c r="T116" s="84"/>
      <c r="U116" s="84"/>
      <c r="V116" s="84"/>
    </row>
    <row r="117" spans="1:32" s="92" customFormat="1" hidden="1" x14ac:dyDescent="0.25">
      <c r="B117" s="30">
        <f>[3]EPPC!N50</f>
        <v>14</v>
      </c>
      <c r="C117" s="31" t="s">
        <v>21</v>
      </c>
      <c r="D117" s="32">
        <f>$K$117*O118</f>
        <v>0</v>
      </c>
      <c r="E117" s="32">
        <f t="shared" ref="E117:J117" si="133">$K$117*P118</f>
        <v>0</v>
      </c>
      <c r="F117" s="32">
        <f t="shared" si="133"/>
        <v>0</v>
      </c>
      <c r="G117" s="32">
        <f t="shared" si="133"/>
        <v>0</v>
      </c>
      <c r="H117" s="32">
        <f t="shared" si="133"/>
        <v>0</v>
      </c>
      <c r="I117" s="32">
        <f t="shared" si="133"/>
        <v>0</v>
      </c>
      <c r="J117" s="32">
        <f t="shared" si="133"/>
        <v>0</v>
      </c>
      <c r="K117" s="33">
        <v>7.5</v>
      </c>
      <c r="L117" s="6">
        <f>SUM(D117:J117)/K117</f>
        <v>0</v>
      </c>
      <c r="M117" s="1"/>
      <c r="N117" s="1"/>
      <c r="O117" s="1"/>
      <c r="P117" s="1"/>
      <c r="Q117" s="1"/>
      <c r="R117" s="1"/>
      <c r="S117" s="1"/>
      <c r="T117" s="1"/>
      <c r="U117" s="1"/>
      <c r="V117" s="7"/>
    </row>
    <row r="118" spans="1:32" s="84" customFormat="1" hidden="1" x14ac:dyDescent="0.25">
      <c r="A118" s="8"/>
      <c r="B118" s="35">
        <f>SUM(D118:J118)</f>
        <v>97.912999999999997</v>
      </c>
      <c r="C118" s="36" t="s">
        <v>53</v>
      </c>
      <c r="D118" s="37">
        <f t="shared" ref="D118:J118" si="134">(D10*1.28)+(D15*1.2)+(D25*0.896)+(D30*0.609)+(D35*0.886)+(D40*0.929)+(D45*0.753)+(D50*0.303)+(D60*0.293)+(D65*0.303)+(D75*0.447)+(D80*0.162)+(D85*0)+(D90*0.895)</f>
        <v>5.2330000000000005</v>
      </c>
      <c r="E118" s="37">
        <f t="shared" si="134"/>
        <v>10.627000000000001</v>
      </c>
      <c r="F118" s="37">
        <f>(F10*1.28)+(F15*1.2)+(F25*0.896)+(F30*0.609)+(F35*0.886)+(F40*0.929)+(F45*0.753)+(F50*0.303)+(F60*0.293)+(F65*0.303)+(F75*0.447)+(F80*0.162)+(F85*0)+(F90*0.895)</f>
        <v>18.067</v>
      </c>
      <c r="G118" s="37">
        <f t="shared" si="134"/>
        <v>17.262</v>
      </c>
      <c r="H118" s="37">
        <f>(H10*1.28)+(H15*1.2)+(H25*0.896)+(H30*0.609)+(H35*0.886)+(H40*0.929)+(H45*0.753)+(H50*0.303)+(H60*0.293)+(H65*0.303)+(H75*0.447)+(H80*0.162)+(H85*0)+(H90*0.895)</f>
        <v>11.147</v>
      </c>
      <c r="I118" s="37">
        <f t="shared" si="134"/>
        <v>15.097000000000001</v>
      </c>
      <c r="J118" s="37">
        <f t="shared" si="134"/>
        <v>20.48</v>
      </c>
      <c r="K118" s="81"/>
      <c r="L118" s="6"/>
      <c r="M118" s="82" t="s">
        <v>65</v>
      </c>
      <c r="N118" s="95">
        <f>[3]EPPC!N50</f>
        <v>14</v>
      </c>
      <c r="O118" s="79"/>
      <c r="P118" s="79"/>
      <c r="Q118" s="79"/>
      <c r="R118" s="79"/>
      <c r="S118" s="79"/>
      <c r="T118" s="79"/>
      <c r="U118" s="79"/>
      <c r="V118" s="80">
        <f>SUM(O118:U118)</f>
        <v>0</v>
      </c>
    </row>
    <row r="119" spans="1:32" hidden="1" x14ac:dyDescent="0.25">
      <c r="B119" s="83"/>
      <c r="C119" s="42" t="s">
        <v>26</v>
      </c>
      <c r="D119" s="43">
        <f t="shared" ref="D119:J119" si="135">D116+D117-D118</f>
        <v>41.073043405023839</v>
      </c>
      <c r="E119" s="43">
        <f t="shared" si="135"/>
        <v>30.446043405023836</v>
      </c>
      <c r="F119" s="43">
        <f t="shared" si="135"/>
        <v>12.379043405023836</v>
      </c>
      <c r="G119" s="43">
        <f t="shared" si="135"/>
        <v>-4.8829565949761644</v>
      </c>
      <c r="H119" s="44">
        <f t="shared" si="135"/>
        <v>-16.029956594976163</v>
      </c>
      <c r="I119" s="43">
        <f t="shared" si="135"/>
        <v>-31.126956594976164</v>
      </c>
      <c r="J119" s="44">
        <f t="shared" si="135"/>
        <v>-51.606956594976168</v>
      </c>
      <c r="M119" s="96"/>
      <c r="N119" s="96"/>
      <c r="O119" s="96"/>
      <c r="P119" s="96"/>
      <c r="Q119" s="96"/>
      <c r="R119" s="96"/>
      <c r="S119" s="96"/>
      <c r="T119" s="96"/>
      <c r="U119" s="96"/>
      <c r="V119" s="96"/>
    </row>
    <row r="120" spans="1:32" x14ac:dyDescent="0.25">
      <c r="B120" s="97"/>
      <c r="C120" s="97"/>
      <c r="D120" s="97"/>
      <c r="E120" s="98"/>
      <c r="F120" s="98"/>
      <c r="G120" s="98"/>
      <c r="H120" s="98"/>
      <c r="I120" s="98"/>
      <c r="J120" s="97"/>
      <c r="K120" s="99"/>
      <c r="L120" s="97"/>
      <c r="M120" s="96"/>
      <c r="N120" s="96"/>
      <c r="O120" s="96"/>
      <c r="P120" s="96"/>
      <c r="Q120" s="96"/>
      <c r="R120" s="96"/>
      <c r="S120" s="96"/>
      <c r="T120" s="96"/>
      <c r="U120" s="96"/>
      <c r="V120" s="96"/>
    </row>
    <row r="121" spans="1:32" x14ac:dyDescent="0.25">
      <c r="D121" s="13"/>
      <c r="E121" s="13"/>
      <c r="F121" s="13"/>
      <c r="G121" s="13"/>
      <c r="H121" s="13"/>
      <c r="I121" s="13"/>
      <c r="J121" s="13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25">
      <c r="D122" s="13"/>
      <c r="E122" s="13"/>
      <c r="F122" s="13"/>
      <c r="G122" s="13"/>
      <c r="H122" s="13"/>
      <c r="I122" s="13"/>
      <c r="J122" s="13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25"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25">
      <c r="D124" s="13"/>
      <c r="E124" s="13"/>
      <c r="F124" s="13"/>
      <c r="G124" s="13"/>
      <c r="H124" s="13"/>
      <c r="I124" s="13"/>
      <c r="J124" s="13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25">
      <c r="D125" s="13"/>
      <c r="E125" s="13"/>
      <c r="F125" s="13"/>
      <c r="G125" s="13"/>
      <c r="H125" s="13"/>
      <c r="I125" s="13"/>
      <c r="J125" s="13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25">
      <c r="C126" s="100"/>
      <c r="D126" s="13"/>
      <c r="E126" s="13"/>
      <c r="F126" s="13"/>
      <c r="G126" s="13"/>
      <c r="H126" s="13"/>
      <c r="I126" s="13"/>
      <c r="J126" s="13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25">
      <c r="D127" s="13"/>
      <c r="E127" s="13"/>
      <c r="F127" s="13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25">
      <c r="D128" s="13"/>
      <c r="E128" s="13"/>
      <c r="F128" s="13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4:32" x14ac:dyDescent="0.25">
      <c r="D129" s="13"/>
      <c r="E129" s="13"/>
      <c r="F129" s="13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4:32" x14ac:dyDescent="0.25">
      <c r="D130" s="13"/>
      <c r="E130" s="13"/>
      <c r="F130" s="13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4:32" x14ac:dyDescent="0.25">
      <c r="D131" s="13"/>
      <c r="E131" s="13"/>
      <c r="F131" s="13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4:32" x14ac:dyDescent="0.25">
      <c r="D132" s="13"/>
      <c r="E132" s="13"/>
      <c r="F132" s="13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4:32" x14ac:dyDescent="0.25">
      <c r="D133" s="13"/>
      <c r="E133" s="13"/>
      <c r="F133" s="13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4:32" x14ac:dyDescent="0.25">
      <c r="D134" s="13"/>
      <c r="E134" s="13"/>
      <c r="F134" s="13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4:32" x14ac:dyDescent="0.25">
      <c r="D135" s="13"/>
      <c r="E135" s="13"/>
      <c r="F135" s="13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4:32" x14ac:dyDescent="0.25">
      <c r="D136" s="13"/>
      <c r="E136" s="13"/>
      <c r="F136" s="13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4:32" x14ac:dyDescent="0.25">
      <c r="D137" s="13"/>
      <c r="E137" s="13"/>
      <c r="F137" s="13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4:32" x14ac:dyDescent="0.25">
      <c r="D138" s="13"/>
      <c r="E138" s="13"/>
      <c r="F138" s="13"/>
      <c r="W138" s="7"/>
      <c r="X138" s="7"/>
      <c r="Y138" s="7"/>
      <c r="Z138" s="13"/>
      <c r="AA138" s="13"/>
      <c r="AB138" s="13"/>
    </row>
    <row r="139" spans="4:32" x14ac:dyDescent="0.25">
      <c r="D139" s="13"/>
      <c r="E139" s="13"/>
      <c r="F139" s="13"/>
      <c r="W139" s="7"/>
      <c r="X139" s="7"/>
      <c r="Y139" s="7"/>
      <c r="Z139" s="13"/>
      <c r="AA139" s="13"/>
      <c r="AB139" s="13"/>
    </row>
    <row r="140" spans="4:32" x14ac:dyDescent="0.25">
      <c r="E140" s="13"/>
      <c r="F140" s="13"/>
      <c r="W140" s="7"/>
      <c r="X140" s="7"/>
      <c r="Y140" s="7"/>
      <c r="AA140" s="13"/>
      <c r="AB140" s="13"/>
    </row>
    <row r="141" spans="4:32" x14ac:dyDescent="0.25">
      <c r="E141" s="13"/>
      <c r="F141" s="13"/>
      <c r="W141" s="7"/>
      <c r="X141" s="7"/>
      <c r="Y141" s="7"/>
      <c r="AA141" s="13"/>
      <c r="AB141" s="13"/>
    </row>
    <row r="142" spans="4:32" x14ac:dyDescent="0.25">
      <c r="E142" s="13"/>
      <c r="F142" s="13"/>
      <c r="W142" s="7"/>
      <c r="X142" s="7"/>
      <c r="Y142" s="7"/>
      <c r="AA142" s="13"/>
      <c r="AB142" s="13"/>
    </row>
    <row r="143" spans="4:32" x14ac:dyDescent="0.25">
      <c r="E143" s="13"/>
      <c r="F143" s="13"/>
      <c r="V143" s="1"/>
      <c r="W143" s="7"/>
      <c r="X143" s="7"/>
      <c r="Y143" s="7"/>
      <c r="AA143" s="13"/>
      <c r="AB143" s="13"/>
    </row>
    <row r="144" spans="4:32" x14ac:dyDescent="0.25">
      <c r="E144" s="13"/>
      <c r="F144" s="13"/>
      <c r="W144" s="7"/>
      <c r="X144" s="7"/>
      <c r="Y144" s="7"/>
      <c r="AA144" s="13"/>
      <c r="AB144" s="13"/>
    </row>
    <row r="145" spans="5:28" x14ac:dyDescent="0.25">
      <c r="E145" s="13"/>
      <c r="F145" s="13"/>
      <c r="W145" s="7"/>
      <c r="X145" s="7"/>
      <c r="Y145" s="7"/>
      <c r="AA145" s="13"/>
      <c r="AB145" s="13"/>
    </row>
    <row r="146" spans="5:28" x14ac:dyDescent="0.25">
      <c r="E146" s="13"/>
      <c r="F146" s="13"/>
      <c r="AA146" s="13"/>
      <c r="AB146" s="13"/>
    </row>
    <row r="147" spans="5:28" x14ac:dyDescent="0.25">
      <c r="E147" s="13"/>
      <c r="F147" s="13"/>
      <c r="AA147" s="13"/>
      <c r="AB147" s="13"/>
    </row>
    <row r="148" spans="5:28" x14ac:dyDescent="0.25">
      <c r="E148" s="13"/>
      <c r="F148" s="13"/>
      <c r="M148" s="101"/>
      <c r="N148" s="101"/>
      <c r="O148" s="102"/>
      <c r="P148" s="102"/>
      <c r="Q148" s="102"/>
      <c r="R148" s="102"/>
      <c r="S148" s="102"/>
      <c r="T148" s="102"/>
      <c r="U148" s="102"/>
      <c r="V148" s="103"/>
      <c r="AA148" s="13"/>
      <c r="AB148" s="13"/>
    </row>
    <row r="149" spans="5:28" x14ac:dyDescent="0.25">
      <c r="V149" s="1"/>
    </row>
    <row r="152" spans="5:28" x14ac:dyDescent="0.25">
      <c r="N152" s="104"/>
      <c r="O152" s="104"/>
      <c r="P152" s="104"/>
      <c r="Q152" s="104"/>
      <c r="R152" s="104"/>
      <c r="S152" s="104"/>
      <c r="T152" s="104"/>
      <c r="U152" s="104"/>
    </row>
  </sheetData>
  <mergeCells count="2">
    <mergeCell ref="B3:B5"/>
    <mergeCell ref="C3:C5"/>
  </mergeCells>
  <conditionalFormatting sqref="F26:J26 F51:J51 F86:J86 G91:J91 F111:J111 F6:J6 F56:J56 F16:J16 F106:J106 F101:J101 F31:J31 F61:J61 F96:J96 F71:J71 F11:J11 F21:J21 F81:J81 F66:J66 E76:J76 F46:J46 F36:J36 F41:J41">
    <cfRule type="expression" dxfId="83" priority="81" stopIfTrue="1">
      <formula>D7=""</formula>
    </cfRule>
    <cfRule type="expression" dxfId="82" priority="82" stopIfTrue="1">
      <formula>D7&gt;=0</formula>
    </cfRule>
  </conditionalFormatting>
  <conditionalFormatting sqref="J114 J109 J99 J94 J104 J9">
    <cfRule type="expression" dxfId="81" priority="83" stopIfTrue="1">
      <formula>J7=""</formula>
    </cfRule>
    <cfRule type="expression" dxfId="80" priority="84" stopIfTrue="1">
      <formula>J7&gt;=0</formula>
    </cfRule>
  </conditionalFormatting>
  <conditionalFormatting sqref="F116:J116">
    <cfRule type="expression" dxfId="79" priority="77" stopIfTrue="1">
      <formula>E117=""</formula>
    </cfRule>
    <cfRule type="expression" dxfId="78" priority="78" stopIfTrue="1">
      <formula>E117&gt;=0</formula>
    </cfRule>
  </conditionalFormatting>
  <conditionalFormatting sqref="J119">
    <cfRule type="expression" dxfId="77" priority="79" stopIfTrue="1">
      <formula>J117=""</formula>
    </cfRule>
    <cfRule type="expression" dxfId="76" priority="80" stopIfTrue="1">
      <formula>J117&gt;=0</formula>
    </cfRule>
  </conditionalFormatting>
  <conditionalFormatting sqref="J24">
    <cfRule type="expression" dxfId="75" priority="75" stopIfTrue="1">
      <formula>J22=""</formula>
    </cfRule>
    <cfRule type="expression" dxfId="74" priority="76" stopIfTrue="1">
      <formula>J22&gt;=0</formula>
    </cfRule>
  </conditionalFormatting>
  <conditionalFormatting sqref="J39">
    <cfRule type="expression" dxfId="73" priority="73" stopIfTrue="1">
      <formula>J37=""</formula>
    </cfRule>
    <cfRule type="expression" dxfId="72" priority="74" stopIfTrue="1">
      <formula>J37&gt;=0</formula>
    </cfRule>
  </conditionalFormatting>
  <conditionalFormatting sqref="J49">
    <cfRule type="expression" dxfId="71" priority="71" stopIfTrue="1">
      <formula>J47=""</formula>
    </cfRule>
    <cfRule type="expression" dxfId="70" priority="72" stopIfTrue="1">
      <formula>J47&gt;=0</formula>
    </cfRule>
  </conditionalFormatting>
  <conditionalFormatting sqref="J59">
    <cfRule type="expression" dxfId="69" priority="69" stopIfTrue="1">
      <formula>J57=""</formula>
    </cfRule>
    <cfRule type="expression" dxfId="68" priority="70" stopIfTrue="1">
      <formula>J57&gt;=0</formula>
    </cfRule>
  </conditionalFormatting>
  <conditionalFormatting sqref="J84">
    <cfRule type="expression" dxfId="67" priority="67" stopIfTrue="1">
      <formula>J82=""</formula>
    </cfRule>
    <cfRule type="expression" dxfId="66" priority="68" stopIfTrue="1">
      <formula>J82&gt;=0</formula>
    </cfRule>
  </conditionalFormatting>
  <conditionalFormatting sqref="J89">
    <cfRule type="expression" dxfId="65" priority="65" stopIfTrue="1">
      <formula>J87=""</formula>
    </cfRule>
    <cfRule type="expression" dxfId="64" priority="66" stopIfTrue="1">
      <formula>J87&gt;=0</formula>
    </cfRule>
  </conditionalFormatting>
  <conditionalFormatting sqref="J14">
    <cfRule type="expression" dxfId="63" priority="63" stopIfTrue="1">
      <formula>J12=""</formula>
    </cfRule>
    <cfRule type="expression" dxfId="62" priority="64" stopIfTrue="1">
      <formula>J12&gt;=0</formula>
    </cfRule>
  </conditionalFormatting>
  <conditionalFormatting sqref="J19">
    <cfRule type="expression" dxfId="61" priority="61" stopIfTrue="1">
      <formula>J17=""</formula>
    </cfRule>
    <cfRule type="expression" dxfId="60" priority="62" stopIfTrue="1">
      <formula>J17&gt;=0</formula>
    </cfRule>
  </conditionalFormatting>
  <conditionalFormatting sqref="J64">
    <cfRule type="expression" dxfId="59" priority="55" stopIfTrue="1">
      <formula>J62=""</formula>
    </cfRule>
    <cfRule type="expression" dxfId="58" priority="56" stopIfTrue="1">
      <formula>J62&gt;=0</formula>
    </cfRule>
  </conditionalFormatting>
  <conditionalFormatting sqref="J29">
    <cfRule type="expression" dxfId="57" priority="59" stopIfTrue="1">
      <formula>J27=""</formula>
    </cfRule>
    <cfRule type="expression" dxfId="56" priority="60" stopIfTrue="1">
      <formula>J27&gt;=0</formula>
    </cfRule>
  </conditionalFormatting>
  <conditionalFormatting sqref="J34">
    <cfRule type="expression" dxfId="55" priority="57" stopIfTrue="1">
      <formula>J32=""</formula>
    </cfRule>
    <cfRule type="expression" dxfId="54" priority="58" stopIfTrue="1">
      <formula>J32&gt;=0</formula>
    </cfRule>
  </conditionalFormatting>
  <conditionalFormatting sqref="J69">
    <cfRule type="expression" dxfId="53" priority="53" stopIfTrue="1">
      <formula>J67=""</formula>
    </cfRule>
    <cfRule type="expression" dxfId="52" priority="54" stopIfTrue="1">
      <formula>J67&gt;=0</formula>
    </cfRule>
  </conditionalFormatting>
  <conditionalFormatting sqref="J74">
    <cfRule type="expression" dxfId="51" priority="51" stopIfTrue="1">
      <formula>J72=""</formula>
    </cfRule>
    <cfRule type="expression" dxfId="50" priority="52" stopIfTrue="1">
      <formula>J72&gt;=0</formula>
    </cfRule>
  </conditionalFormatting>
  <conditionalFormatting sqref="J79">
    <cfRule type="expression" dxfId="49" priority="49" stopIfTrue="1">
      <formula>J77=""</formula>
    </cfRule>
    <cfRule type="expression" dxfId="48" priority="50" stopIfTrue="1">
      <formula>J77&gt;=0</formula>
    </cfRule>
  </conditionalFormatting>
  <conditionalFormatting sqref="J44">
    <cfRule type="expression" dxfId="47" priority="47" stopIfTrue="1">
      <formula>J42=""</formula>
    </cfRule>
    <cfRule type="expression" dxfId="46" priority="48" stopIfTrue="1">
      <formula>J42&gt;=0</formula>
    </cfRule>
  </conditionalFormatting>
  <conditionalFormatting sqref="J54">
    <cfRule type="expression" dxfId="45" priority="45" stopIfTrue="1">
      <formula>J52=""</formula>
    </cfRule>
    <cfRule type="expression" dxfId="44" priority="46" stopIfTrue="1">
      <formula>J52&gt;=0</formula>
    </cfRule>
  </conditionalFormatting>
  <conditionalFormatting sqref="AB26:AF26 AB51:AF51 AB86:AF86 AC91:AF91 AB111:AF111 AB6:AF6 AB56:AF56 AB16:AF16 AB106:AF106 AB101:AF101 AB31:AF31 AB61:AF61 AB96:AF96 AB71:AF71 AB11:AF11 AB21:AF21 AB81:AF81 AB66:AF66 AA76:AF76 AB46:AF46 AB36:AF36 AB41:AF41">
    <cfRule type="expression" dxfId="43" priority="41" stopIfTrue="1">
      <formula>Z7=""</formula>
    </cfRule>
    <cfRule type="expression" dxfId="42" priority="42" stopIfTrue="1">
      <formula>Z7&gt;=0</formula>
    </cfRule>
  </conditionalFormatting>
  <conditionalFormatting sqref="AF114 AF109 AF99 AF94 AF104 AF9">
    <cfRule type="expression" dxfId="41" priority="43" stopIfTrue="1">
      <formula>AF7=""</formula>
    </cfRule>
    <cfRule type="expression" dxfId="40" priority="44" stopIfTrue="1">
      <formula>AF7&gt;=0</formula>
    </cfRule>
  </conditionalFormatting>
  <conditionalFormatting sqref="AB116:AF116">
    <cfRule type="expression" dxfId="39" priority="37" stopIfTrue="1">
      <formula>AA117=""</formula>
    </cfRule>
    <cfRule type="expression" dxfId="38" priority="38" stopIfTrue="1">
      <formula>AA117&gt;=0</formula>
    </cfRule>
  </conditionalFormatting>
  <conditionalFormatting sqref="AF119">
    <cfRule type="expression" dxfId="37" priority="39" stopIfTrue="1">
      <formula>AF117=""</formula>
    </cfRule>
    <cfRule type="expression" dxfId="36" priority="40" stopIfTrue="1">
      <formula>AF117&gt;=0</formula>
    </cfRule>
  </conditionalFormatting>
  <conditionalFormatting sqref="AB122:AF122">
    <cfRule type="expression" dxfId="35" priority="33" stopIfTrue="1">
      <formula>AA123=""</formula>
    </cfRule>
    <cfRule type="expression" dxfId="34" priority="34" stopIfTrue="1">
      <formula>AA123&gt;=0</formula>
    </cfRule>
  </conditionalFormatting>
  <conditionalFormatting sqref="AF125">
    <cfRule type="expression" dxfId="33" priority="35" stopIfTrue="1">
      <formula>AF123=""</formula>
    </cfRule>
    <cfRule type="expression" dxfId="32" priority="36" stopIfTrue="1">
      <formula>AF123&gt;=0</formula>
    </cfRule>
  </conditionalFormatting>
  <conditionalFormatting sqref="AF24">
    <cfRule type="expression" dxfId="31" priority="31" stopIfTrue="1">
      <formula>AF22=""</formula>
    </cfRule>
    <cfRule type="expression" dxfId="30" priority="32" stopIfTrue="1">
      <formula>AF22&gt;=0</formula>
    </cfRule>
  </conditionalFormatting>
  <conditionalFormatting sqref="AF39">
    <cfRule type="expression" dxfId="29" priority="29" stopIfTrue="1">
      <formula>AF37=""</formula>
    </cfRule>
    <cfRule type="expression" dxfId="28" priority="30" stopIfTrue="1">
      <formula>AF37&gt;=0</formula>
    </cfRule>
  </conditionalFormatting>
  <conditionalFormatting sqref="AF49">
    <cfRule type="expression" dxfId="27" priority="27" stopIfTrue="1">
      <formula>AF47=""</formula>
    </cfRule>
    <cfRule type="expression" dxfId="26" priority="28" stopIfTrue="1">
      <formula>AF47&gt;=0</formula>
    </cfRule>
  </conditionalFormatting>
  <conditionalFormatting sqref="AF59">
    <cfRule type="expression" dxfId="25" priority="25" stopIfTrue="1">
      <formula>AF57=""</formula>
    </cfRule>
    <cfRule type="expression" dxfId="24" priority="26" stopIfTrue="1">
      <formula>AF57&gt;=0</formula>
    </cfRule>
  </conditionalFormatting>
  <conditionalFormatting sqref="AF84">
    <cfRule type="expression" dxfId="23" priority="23" stopIfTrue="1">
      <formula>AF82=""</formula>
    </cfRule>
    <cfRule type="expression" dxfId="22" priority="24" stopIfTrue="1">
      <formula>AF82&gt;=0</formula>
    </cfRule>
  </conditionalFormatting>
  <conditionalFormatting sqref="AF89">
    <cfRule type="expression" dxfId="21" priority="21" stopIfTrue="1">
      <formula>AF87=""</formula>
    </cfRule>
    <cfRule type="expression" dxfId="20" priority="22" stopIfTrue="1">
      <formula>AF87&gt;=0</formula>
    </cfRule>
  </conditionalFormatting>
  <conditionalFormatting sqref="AF14">
    <cfRule type="expression" dxfId="19" priority="19" stopIfTrue="1">
      <formula>AF12=""</formula>
    </cfRule>
    <cfRule type="expression" dxfId="18" priority="20" stopIfTrue="1">
      <formula>AF12&gt;=0</formula>
    </cfRule>
  </conditionalFormatting>
  <conditionalFormatting sqref="AF19">
    <cfRule type="expression" dxfId="17" priority="17" stopIfTrue="1">
      <formula>AF17=""</formula>
    </cfRule>
    <cfRule type="expression" dxfId="16" priority="18" stopIfTrue="1">
      <formula>AF17&gt;=0</formula>
    </cfRule>
  </conditionalFormatting>
  <conditionalFormatting sqref="AF64">
    <cfRule type="expression" dxfId="15" priority="11" stopIfTrue="1">
      <formula>AF62=""</formula>
    </cfRule>
    <cfRule type="expression" dxfId="14" priority="12" stopIfTrue="1">
      <formula>AF62&gt;=0</formula>
    </cfRule>
  </conditionalFormatting>
  <conditionalFormatting sqref="AF29">
    <cfRule type="expression" dxfId="13" priority="15" stopIfTrue="1">
      <formula>AF27=""</formula>
    </cfRule>
    <cfRule type="expression" dxfId="12" priority="16" stopIfTrue="1">
      <formula>AF27&gt;=0</formula>
    </cfRule>
  </conditionalFormatting>
  <conditionalFormatting sqref="AF34">
    <cfRule type="expression" dxfId="11" priority="13" stopIfTrue="1">
      <formula>AF32=""</formula>
    </cfRule>
    <cfRule type="expression" dxfId="10" priority="14" stopIfTrue="1">
      <formula>AF32&gt;=0</formula>
    </cfRule>
  </conditionalFormatting>
  <conditionalFormatting sqref="AF69">
    <cfRule type="expression" dxfId="9" priority="9" stopIfTrue="1">
      <formula>AF67=""</formula>
    </cfRule>
    <cfRule type="expression" dxfId="8" priority="10" stopIfTrue="1">
      <formula>AF67&gt;=0</formula>
    </cfRule>
  </conditionalFormatting>
  <conditionalFormatting sqref="AF74">
    <cfRule type="expression" dxfId="7" priority="7" stopIfTrue="1">
      <formula>AF72=""</formula>
    </cfRule>
    <cfRule type="expression" dxfId="6" priority="8" stopIfTrue="1">
      <formula>AF72&gt;=0</formula>
    </cfRule>
  </conditionalFormatting>
  <conditionalFormatting sqref="AF79">
    <cfRule type="expression" dxfId="5" priority="5" stopIfTrue="1">
      <formula>AF77=""</formula>
    </cfRule>
    <cfRule type="expression" dxfId="4" priority="6" stopIfTrue="1">
      <formula>AF77&gt;=0</formula>
    </cfRule>
  </conditionalFormatting>
  <conditionalFormatting sqref="AF44">
    <cfRule type="expression" dxfId="3" priority="3" stopIfTrue="1">
      <formula>AF42=""</formula>
    </cfRule>
    <cfRule type="expression" dxfId="2" priority="4" stopIfTrue="1">
      <formula>AF42&gt;=0</formula>
    </cfRule>
  </conditionalFormatting>
  <conditionalFormatting sqref="AF54">
    <cfRule type="expression" dxfId="1" priority="1" stopIfTrue="1">
      <formula>AF52=""</formula>
    </cfRule>
    <cfRule type="expression" dxfId="0" priority="2" stopIfTrue="1">
      <formula>AF52&gt;=0</formula>
    </cfRule>
  </conditionalFormatting>
  <printOptions horizontalCentered="1"/>
  <pageMargins left="0.27559055118110237" right="0.19685039370078741" top="0.98425196850393704" bottom="0.98425196850393704" header="0.51181102362204722" footer="0.51181102362204722"/>
  <pageSetup paperSize="9" scale="5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Simulasi</vt:lpstr>
      <vt:lpstr>Simulasi!Print_Area</vt:lpstr>
    </vt:vector>
  </TitlesOfParts>
  <Company>PMI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Panitra, Nuraisfatul Vikip</dc:creator>
  <cp:lastModifiedBy>Tama, Rifky</cp:lastModifiedBy>
  <dcterms:created xsi:type="dcterms:W3CDTF">2020-01-16T06:52:02Z</dcterms:created>
  <dcterms:modified xsi:type="dcterms:W3CDTF">2020-01-16T09:08:13Z</dcterms:modified>
</cp:coreProperties>
</file>